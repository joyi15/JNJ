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.sharepoint.com/teams/Roebling2/Shared Documents/SCRUM/"/>
    </mc:Choice>
  </mc:AlternateContent>
  <xr:revisionPtr revIDLastSave="1258" documentId="8_{7F885CD3-52A6-4C3A-8A11-CB07CDF84C82}" xr6:coauthVersionLast="41" xr6:coauthVersionMax="45" xr10:uidLastSave="{29D0D14F-977D-4A3B-BD93-5AD1E5706251}"/>
  <bookViews>
    <workbookView xWindow="-120" yWindow="-120" windowWidth="21840" windowHeight="13140" tabRatio="833" activeTab="6" xr2:uid="{DB74FF03-9987-420A-9D5B-D5D322BBB25D}"/>
  </bookViews>
  <sheets>
    <sheet name="DATA SHEET" sheetId="9" r:id="rId1"/>
    <sheet name="Backlog" sheetId="1" r:id="rId2"/>
    <sheet name="Refined" sheetId="11" r:id="rId3"/>
    <sheet name="Sprint 11" sheetId="7" r:id="rId4"/>
    <sheet name="Sprint 12" sheetId="2" r:id="rId5"/>
    <sheet name="Sprint 13" sheetId="15" r:id="rId6"/>
    <sheet name="Sprint 14" sheetId="17" r:id="rId7"/>
  </sheets>
  <definedNames>
    <definedName name="_xlnm._FilterDatabase" localSheetId="3" hidden="1">'Sprint 11'!$D$1:$D$31</definedName>
    <definedName name="_xlnm._FilterDatabase" localSheetId="4" hidden="1">'Sprint 12'!$D$1:$D$24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C4" i="17"/>
  <c r="C5" i="17"/>
  <c r="C6" i="17"/>
  <c r="C7" i="17"/>
  <c r="C8" i="17"/>
  <c r="C9" i="17"/>
  <c r="C10" i="17"/>
  <c r="C11" i="17"/>
  <c r="P7" i="17" s="1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F3" i="17"/>
  <c r="C3" i="17"/>
  <c r="P10" i="17"/>
  <c r="O10" i="17"/>
  <c r="N10" i="17"/>
  <c r="M10" i="17"/>
  <c r="L10" i="17"/>
  <c r="P9" i="17"/>
  <c r="O9" i="17"/>
  <c r="N9" i="17"/>
  <c r="M9" i="17"/>
  <c r="L9" i="17"/>
  <c r="P8" i="17"/>
  <c r="O8" i="17"/>
  <c r="Q8" i="17" s="1"/>
  <c r="N8" i="17"/>
  <c r="M8" i="17"/>
  <c r="L8" i="17"/>
  <c r="O7" i="17"/>
  <c r="M7" i="17"/>
  <c r="L7" i="17"/>
  <c r="P6" i="17"/>
  <c r="O6" i="17"/>
  <c r="N6" i="17"/>
  <c r="M6" i="17"/>
  <c r="L6" i="17"/>
  <c r="P5" i="17"/>
  <c r="O5" i="17"/>
  <c r="N5" i="17"/>
  <c r="M5" i="17"/>
  <c r="L5" i="17"/>
  <c r="P4" i="17"/>
  <c r="O4" i="17"/>
  <c r="N4" i="17"/>
  <c r="M4" i="17"/>
  <c r="L4" i="17"/>
  <c r="P3" i="17"/>
  <c r="O3" i="17"/>
  <c r="M3" i="17"/>
  <c r="L3" i="17"/>
  <c r="F2" i="17"/>
  <c r="C2" i="17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C4" i="15"/>
  <c r="C5" i="15"/>
  <c r="C6" i="15"/>
  <c r="C7" i="15"/>
  <c r="C8" i="15"/>
  <c r="C9" i="15"/>
  <c r="C10" i="15"/>
  <c r="P7" i="15" s="1"/>
  <c r="C11" i="15"/>
  <c r="C12" i="15"/>
  <c r="C13" i="15"/>
  <c r="C14" i="15"/>
  <c r="C15" i="15"/>
  <c r="C16" i="15"/>
  <c r="C17" i="15"/>
  <c r="C18" i="15"/>
  <c r="O4" i="15" s="1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F3" i="15"/>
  <c r="C3" i="15"/>
  <c r="P10" i="15"/>
  <c r="O10" i="15"/>
  <c r="N10" i="15"/>
  <c r="M10" i="15"/>
  <c r="L10" i="15"/>
  <c r="P9" i="15"/>
  <c r="O9" i="15"/>
  <c r="N9" i="15"/>
  <c r="M9" i="15"/>
  <c r="L9" i="15"/>
  <c r="P8" i="15"/>
  <c r="O8" i="15"/>
  <c r="N8" i="15"/>
  <c r="M8" i="15"/>
  <c r="L8" i="15"/>
  <c r="O7" i="15"/>
  <c r="N7" i="15"/>
  <c r="M7" i="15"/>
  <c r="L7" i="15"/>
  <c r="P6" i="15"/>
  <c r="O6" i="15"/>
  <c r="Q6" i="15" s="1"/>
  <c r="N6" i="15"/>
  <c r="M6" i="15"/>
  <c r="L6" i="15"/>
  <c r="P5" i="15"/>
  <c r="O5" i="15"/>
  <c r="N5" i="15"/>
  <c r="M5" i="15"/>
  <c r="L5" i="15"/>
  <c r="P4" i="15"/>
  <c r="N4" i="15"/>
  <c r="M4" i="15"/>
  <c r="L4" i="15"/>
  <c r="P3" i="15"/>
  <c r="O3" i="15"/>
  <c r="N3" i="15"/>
  <c r="M3" i="15"/>
  <c r="L3" i="15"/>
  <c r="F2" i="15"/>
  <c r="C2" i="15"/>
  <c r="N7" i="17" l="1"/>
  <c r="Q7" i="17" s="1"/>
  <c r="N3" i="17"/>
  <c r="Q3" i="17" s="1"/>
  <c r="P11" i="17"/>
  <c r="Q4" i="17"/>
  <c r="Q9" i="17"/>
  <c r="Q6" i="17"/>
  <c r="O11" i="17"/>
  <c r="Q5" i="17"/>
  <c r="L11" i="17"/>
  <c r="M11" i="17"/>
  <c r="T3" i="17"/>
  <c r="Q10" i="17"/>
  <c r="T4" i="17"/>
  <c r="P11" i="15"/>
  <c r="N11" i="15"/>
  <c r="Q7" i="15"/>
  <c r="Q9" i="15"/>
  <c r="Q10" i="15"/>
  <c r="T3" i="15"/>
  <c r="Q5" i="15"/>
  <c r="L11" i="15"/>
  <c r="Q4" i="15"/>
  <c r="M11" i="15"/>
  <c r="Q8" i="15"/>
  <c r="O11" i="15"/>
  <c r="Q3" i="15"/>
  <c r="T4" i="15"/>
  <c r="Q4" i="2"/>
  <c r="Q5" i="2"/>
  <c r="Q6" i="2"/>
  <c r="Q7" i="2"/>
  <c r="Q8" i="2"/>
  <c r="Q9" i="2"/>
  <c r="Q10" i="2"/>
  <c r="Q3" i="2"/>
  <c r="M11" i="2"/>
  <c r="M4" i="2"/>
  <c r="M5" i="2"/>
  <c r="M6" i="2"/>
  <c r="M7" i="2"/>
  <c r="M8" i="2"/>
  <c r="M9" i="2"/>
  <c r="M10" i="2"/>
  <c r="M3" i="2"/>
  <c r="O3" i="2"/>
  <c r="L3" i="2"/>
  <c r="L11" i="2" s="1"/>
  <c r="L4" i="2"/>
  <c r="L5" i="2"/>
  <c r="L6" i="2"/>
  <c r="L7" i="2"/>
  <c r="L8" i="2"/>
  <c r="L9" i="2"/>
  <c r="L10" i="2"/>
  <c r="N11" i="17" l="1"/>
  <c r="T5" i="17"/>
  <c r="T5" i="15"/>
  <c r="P8" i="2"/>
  <c r="O4" i="2"/>
  <c r="O5" i="2"/>
  <c r="O6" i="2"/>
  <c r="O7" i="2"/>
  <c r="O8" i="2"/>
  <c r="O9" i="2"/>
  <c r="O10" i="2"/>
  <c r="K3" i="7"/>
  <c r="N8" i="2"/>
  <c r="T3" i="2" l="1"/>
  <c r="O11" i="2"/>
  <c r="F2" i="2" l="1"/>
  <c r="B26" i="2"/>
  <c r="C15" i="2"/>
  <c r="C2" i="2"/>
  <c r="F15" i="2"/>
  <c r="F3" i="2"/>
  <c r="F4" i="2"/>
  <c r="F5" i="2"/>
  <c r="F6" i="2"/>
  <c r="F7" i="2"/>
  <c r="F8" i="2"/>
  <c r="F10" i="2"/>
  <c r="F14" i="2"/>
  <c r="F16" i="2"/>
  <c r="F17" i="2"/>
  <c r="F9" i="2"/>
  <c r="F11" i="2"/>
  <c r="F12" i="2"/>
  <c r="F13" i="2"/>
  <c r="F18" i="2"/>
  <c r="F21" i="2"/>
  <c r="F22" i="2"/>
  <c r="F23" i="2"/>
  <c r="F24" i="2"/>
  <c r="F19" i="2"/>
  <c r="F20" i="2"/>
  <c r="C3" i="2"/>
  <c r="C23" i="2" l="1"/>
  <c r="N10" i="2" l="1"/>
  <c r="P10" i="2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C25" i="7"/>
  <c r="C8" i="2"/>
  <c r="C19" i="2"/>
  <c r="C22" i="2"/>
  <c r="C9" i="2"/>
  <c r="C21" i="2"/>
  <c r="C4" i="2"/>
  <c r="C18" i="2"/>
  <c r="C14" i="2"/>
  <c r="C24" i="2"/>
  <c r="C20" i="2"/>
  <c r="C13" i="2"/>
  <c r="C16" i="2"/>
  <c r="C12" i="2"/>
  <c r="C6" i="2"/>
  <c r="N3" i="2" s="1"/>
  <c r="C7" i="2"/>
  <c r="C17" i="2"/>
  <c r="C5" i="2"/>
  <c r="C11" i="2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6" i="7"/>
  <c r="C27" i="7"/>
  <c r="C28" i="7"/>
  <c r="C29" i="7"/>
  <c r="C30" i="7"/>
  <c r="C31" i="7"/>
  <c r="C3" i="7"/>
  <c r="P3" i="2" l="1"/>
  <c r="P4" i="2"/>
  <c r="N4" i="2"/>
  <c r="P9" i="2"/>
  <c r="N9" i="2"/>
  <c r="N7" i="2"/>
  <c r="P7" i="2"/>
  <c r="P5" i="2"/>
  <c r="N5" i="2"/>
  <c r="P6" i="2"/>
  <c r="N6" i="2"/>
  <c r="L7" i="7"/>
  <c r="L9" i="7"/>
  <c r="L8" i="7"/>
  <c r="N11" i="2" l="1"/>
  <c r="T5" i="2" s="1"/>
  <c r="T4" i="2"/>
  <c r="P11" i="2"/>
  <c r="E2" i="1"/>
  <c r="J3" i="7" l="1"/>
  <c r="J7" i="7" l="1"/>
  <c r="K7" i="7"/>
  <c r="J9" i="7"/>
  <c r="K9" i="7"/>
  <c r="J8" i="7"/>
  <c r="K8" i="7"/>
  <c r="L10" i="7"/>
  <c r="K10" i="7"/>
  <c r="J10" i="7"/>
  <c r="L6" i="7"/>
  <c r="K6" i="7"/>
  <c r="J6" i="7"/>
  <c r="L5" i="7"/>
  <c r="K5" i="7"/>
  <c r="J5" i="7"/>
  <c r="L4" i="7"/>
  <c r="K4" i="7"/>
  <c r="J4" i="7"/>
  <c r="L3" i="7"/>
  <c r="L11" i="7" l="1"/>
  <c r="O4" i="7" s="1"/>
  <c r="K11" i="7"/>
  <c r="O3" i="7" s="1"/>
  <c r="J11" i="7"/>
  <c r="O5" i="7"/>
</calcChain>
</file>

<file path=xl/sharedStrings.xml><?xml version="1.0" encoding="utf-8"?>
<sst xmlns="http://schemas.openxmlformats.org/spreadsheetml/2006/main" count="1028" uniqueCount="252">
  <si>
    <t>Category</t>
  </si>
  <si>
    <t>Size</t>
  </si>
  <si>
    <t>Pts</t>
  </si>
  <si>
    <t>Pre-Charter</t>
  </si>
  <si>
    <t>XS</t>
  </si>
  <si>
    <t>Post Charter</t>
  </si>
  <si>
    <t>S</t>
  </si>
  <si>
    <t>Standard Dex Tools</t>
  </si>
  <si>
    <t>M</t>
  </si>
  <si>
    <t>Change Control Process (CCB)</t>
  </si>
  <si>
    <t>L</t>
  </si>
  <si>
    <t>Implementation Plan</t>
  </si>
  <si>
    <t>XL</t>
  </si>
  <si>
    <t>Prio</t>
  </si>
  <si>
    <t>Rank</t>
  </si>
  <si>
    <t>Blocker</t>
  </si>
  <si>
    <t>H</t>
  </si>
  <si>
    <t>Needed this sprint</t>
  </si>
  <si>
    <t>Not needed this sprint</t>
  </si>
  <si>
    <t>Deliverable/ Story</t>
  </si>
  <si>
    <t>Points</t>
  </si>
  <si>
    <t>Sprint #</t>
  </si>
  <si>
    <t>Responsible</t>
  </si>
  <si>
    <t>Priority</t>
  </si>
  <si>
    <t>Dependency</t>
  </si>
  <si>
    <t>Create L3 Training Content</t>
  </si>
  <si>
    <t>Sol</t>
  </si>
  <si>
    <t>Gwen</t>
  </si>
  <si>
    <t>Gwen, Joy</t>
  </si>
  <si>
    <t>Partner 7 of n | Maxframe Pilot</t>
  </si>
  <si>
    <t>Brian</t>
  </si>
  <si>
    <t>DMD Assessment for L3 Training</t>
  </si>
  <si>
    <t>Joy</t>
  </si>
  <si>
    <t>Jonathan</t>
  </si>
  <si>
    <t>Jordan</t>
  </si>
  <si>
    <t>Gen 2 Requirements Database Assessment Plan for Pilot</t>
  </si>
  <si>
    <t>Pressure Test 5 of 6 | RFN</t>
  </si>
  <si>
    <t>Pressure Test 6 of 6 | RFN</t>
  </si>
  <si>
    <t>Pressure Test 1 of n | TFNA Telescoping Head Element</t>
  </si>
  <si>
    <t>Pressure Test 2 of n | TFNA Telescoping Head Element</t>
  </si>
  <si>
    <t>Req. Spec | Assess Impact of allowing full cascading or limiting for Gen1</t>
  </si>
  <si>
    <t>CORe 5b of 6 | Across the Shared Services Gen1 Solution</t>
  </si>
  <si>
    <t>CORe 6b of 6 | Across the Shared Services Gen1 Solution</t>
  </si>
  <si>
    <t>Pressure Test 4 of 6 | RFN</t>
  </si>
  <si>
    <t>Partner 1 of n | SRS Pilot</t>
  </si>
  <si>
    <t>CORe 1 of n | Marketing Claims</t>
  </si>
  <si>
    <t>Story</t>
  </si>
  <si>
    <t>Done</t>
  </si>
  <si>
    <t>SPRINT 12: NOV 25 - DEC 20</t>
  </si>
  <si>
    <t>REQUIREMENT CASCADE WS</t>
  </si>
  <si>
    <t>Name</t>
  </si>
  <si>
    <t>Avail (Hrs)</t>
  </si>
  <si>
    <t>Commit</t>
  </si>
  <si>
    <t>Complete</t>
  </si>
  <si>
    <t>Incomplete</t>
  </si>
  <si>
    <t>Conflicts</t>
  </si>
  <si>
    <t>Sprint Review</t>
  </si>
  <si>
    <t>Visualization of TPP and STG evolution over time</t>
  </si>
  <si>
    <t>N</t>
  </si>
  <si>
    <t>JORDAN</t>
  </si>
  <si>
    <t>COMPLETE (Pts)</t>
  </si>
  <si>
    <t>Outline Roebling-676</t>
  </si>
  <si>
    <t>GWEN</t>
  </si>
  <si>
    <t>INCOMPLETE (Pts)</t>
  </si>
  <si>
    <t>Review W-C-S012</t>
  </si>
  <si>
    <t>Bian</t>
  </si>
  <si>
    <t>BRIAN</t>
  </si>
  <si>
    <t>PERCENT COMPLETE</t>
  </si>
  <si>
    <t>QE Support for other projects</t>
  </si>
  <si>
    <t>SOL</t>
  </si>
  <si>
    <t>Finalize and post TFS Guidance Doc</t>
  </si>
  <si>
    <t>JOY</t>
  </si>
  <si>
    <t>Coordinate with TPP Workstream within Scope TTM</t>
  </si>
  <si>
    <t>JONATHAN</t>
  </si>
  <si>
    <t>Process Dev | MindMap</t>
  </si>
  <si>
    <t>Y</t>
  </si>
  <si>
    <t>JAN</t>
  </si>
  <si>
    <t>Roebling Process Map | Post Charter</t>
  </si>
  <si>
    <t>Jordan, Gwen, Sol, Joy</t>
  </si>
  <si>
    <t>PAUL</t>
  </si>
  <si>
    <t>Req. Spec | Finalize Use Spec Requirements</t>
  </si>
  <si>
    <t>Draft CA - Finalize Stakeholder Alignment</t>
  </si>
  <si>
    <t>Story Points; not hours</t>
  </si>
  <si>
    <t>L3 Training Dry Run w/ Ankle Fusion Team</t>
  </si>
  <si>
    <t>Jordan, Gwen, Sol</t>
  </si>
  <si>
    <t>Identify Extended Review Team</t>
  </si>
  <si>
    <t>Sprint Planning Support 2020</t>
  </si>
  <si>
    <t>Resource Plan Upcoming PTO</t>
  </si>
  <si>
    <t>Feedback on "Essential Needs" Requirements</t>
  </si>
  <si>
    <t>Brian, Jan</t>
  </si>
  <si>
    <t>Process Dev | MindMap Implementation</t>
  </si>
  <si>
    <t>RTM | Explore Windchill Readiness</t>
  </si>
  <si>
    <t>Roebling coordination with Risk Management</t>
  </si>
  <si>
    <t>Dex Tool Release | Solution Mapping Part 2</t>
  </si>
  <si>
    <t>Stats Based Dex Tool Release | ANOVA part 2</t>
  </si>
  <si>
    <t>Gwen, Paul</t>
  </si>
  <si>
    <t>PRIO RANK</t>
  </si>
  <si>
    <t>Convert Roebling (676) Process outline into 012 appendix 1</t>
  </si>
  <si>
    <t xml:space="preserve">Brian </t>
  </si>
  <si>
    <t>Implementation Plan/Milestone Chart</t>
  </si>
  <si>
    <t xml:space="preserve">Gwen </t>
  </si>
  <si>
    <t>Guidance Doc | Dex</t>
  </si>
  <si>
    <t>Draft CA - Develop Redlines</t>
  </si>
  <si>
    <t xml:space="preserve">Jordan </t>
  </si>
  <si>
    <t>Finalize &amp; Post TRS Guidance</t>
  </si>
  <si>
    <t xml:space="preserve">Sol </t>
  </si>
  <si>
    <t>Process Map (DMADVV) - Gain Internal Alignment</t>
  </si>
  <si>
    <t>Finalize "Essential Needs" Definition (Phase 1) for PEC Review</t>
  </si>
  <si>
    <t>Jan</t>
  </si>
  <si>
    <t>Roebling Stakeholder Exit Interviews</t>
  </si>
  <si>
    <t>Finalize "Essential Needs" Examples for PEC Review</t>
  </si>
  <si>
    <t>Guidance Doc | Procedure Map</t>
  </si>
  <si>
    <t>Finalize Use Spec Requirements</t>
  </si>
  <si>
    <t>Kick off NPD Playbook (Radius Related)</t>
  </si>
  <si>
    <t>RTM Validator Tool</t>
  </si>
  <si>
    <t>Guidance Doc | Draft VRS documentation</t>
  </si>
  <si>
    <t>Req. Spec | Create "How to write V&amp;V Strategy"</t>
  </si>
  <si>
    <t>Identify Extended Review Team (Roebling Tools)</t>
  </si>
  <si>
    <t>Post Charter Process Map (RTM)</t>
  </si>
  <si>
    <t>Coordinate w/ Risk Management</t>
  </si>
  <si>
    <t>Coordinate w/ TPP workstream in Scope TTM</t>
  </si>
  <si>
    <t>Standard Tool Rollout Plan for 2020</t>
  </si>
  <si>
    <t>Gwen, Joy, Paul</t>
  </si>
  <si>
    <t>Mind Map Implementation</t>
  </si>
  <si>
    <t xml:space="preserve">Number of Stories </t>
  </si>
  <si>
    <t>WI Update Planning</t>
  </si>
  <si>
    <t>Team Member</t>
  </si>
  <si>
    <t>Guidance Doc | DEx - Draft and Review</t>
  </si>
  <si>
    <t>US Q4 Workshop | RTM Transition</t>
  </si>
  <si>
    <t>Marketing Claims</t>
  </si>
  <si>
    <t>RTM | Windchill Readiness</t>
  </si>
  <si>
    <t>Implementation Execution | L3 Training TFS</t>
  </si>
  <si>
    <t>Create Common Use Survey for L3 Partners</t>
  </si>
  <si>
    <t>Guidance Doc | Req Map - Draft</t>
  </si>
  <si>
    <t>Implementation Execution | L3 Training TBD</t>
  </si>
  <si>
    <t>Guidance Doc | RTM</t>
  </si>
  <si>
    <t>Finalize the L3 Project List</t>
  </si>
  <si>
    <t xml:space="preserve">L3 Training Dry Run w/ Ankle Fusion </t>
  </si>
  <si>
    <t>Guidance Doc | DEx - Finalize and Publish</t>
  </si>
  <si>
    <t>Roll-out Communication Plan</t>
  </si>
  <si>
    <t>CORe 3 of 6 | Labeling (Gen1 Solution)</t>
  </si>
  <si>
    <t>Feedback L2T | Interrelationship of Tools</t>
  </si>
  <si>
    <t>Guidance Doc | Writing Good Requirements</t>
  </si>
  <si>
    <t>Feedback L2T | Evidence Generation</t>
  </si>
  <si>
    <t>Feedback L2T | Overview of Procedure Impact</t>
  </si>
  <si>
    <t>Req. Spec. | Procedure Based FDR vs. Device Specific</t>
  </si>
  <si>
    <t>CORe 3 of 6 | Packaging (Gen1 Solution)</t>
  </si>
  <si>
    <t>Req. Spec. | Part Number to Requirement Traceability</t>
  </si>
  <si>
    <t>CORe 3 of 6 | Bio Comp (Gen1 Solution)</t>
  </si>
  <si>
    <t>Partner 7 of n |Maxframe Pilot</t>
  </si>
  <si>
    <t>CORe 3 of 6 | F&amp;DR S5 (Gen1 Solution)</t>
  </si>
  <si>
    <t>RTM | External Parts List</t>
  </si>
  <si>
    <t>Standard DEx Tool - Stakeholder Analysis - Phase 1 (M)</t>
  </si>
  <si>
    <t>Standard DEx Tool - Multi-Generational Plan - Phase 1 (M)</t>
  </si>
  <si>
    <t>TOTAL STORIES</t>
  </si>
  <si>
    <t>New?</t>
  </si>
  <si>
    <t># Stories</t>
  </si>
  <si>
    <t>Weibull Stat Guidance</t>
  </si>
  <si>
    <t>Complete Reqt Map so TFS Confidence Eval can begin (M)</t>
  </si>
  <si>
    <t>Support Pelvis Formative Usability Labs (S)</t>
  </si>
  <si>
    <t>Prep for Feb Town Hall (M)</t>
  </si>
  <si>
    <t>New Stories</t>
  </si>
  <si>
    <t>Completion %</t>
  </si>
  <si>
    <t>Sprint 13: ENTER DATES</t>
  </si>
  <si>
    <t>Req. Spec | Draft "How to write V&amp;V Strategy" (S)</t>
  </si>
  <si>
    <t>Brian Dec</t>
  </si>
  <si>
    <t>Coordinate w/ TPP workstream in Scope TTM  (S)</t>
  </si>
  <si>
    <t>Gwen Grant</t>
  </si>
  <si>
    <t>Draft CA - Complete Remaining Redlines (M)</t>
  </si>
  <si>
    <t>Jordan Conley</t>
  </si>
  <si>
    <t>Finalize &amp; Post TFS Guidance (L)</t>
  </si>
  <si>
    <t>Sol Posada</t>
  </si>
  <si>
    <t>Convert Roebling (676) Process outline into 012 appendix 1 (L)</t>
  </si>
  <si>
    <t>Review W-C-S012  - Resolve all open questions in the BDec W-C-S012 rewrite (M)</t>
  </si>
  <si>
    <t>Coordinate w/ Risk Management (S)</t>
  </si>
  <si>
    <t>Guidance Doc | Use Spec - Outline (S)</t>
  </si>
  <si>
    <t>Guidance Doc - Req't Map - Outline (S)</t>
  </si>
  <si>
    <t>Guidance Doc - Procedure Map - Compare w/ W-C-S062 and outline (S)</t>
  </si>
  <si>
    <t>Joy Iaconianni</t>
  </si>
  <si>
    <t>Update L2 Makeup Slides and publish on Radius (S)</t>
  </si>
  <si>
    <t>Make changes to documents in FROM folder (F&amp;DR) (L)</t>
  </si>
  <si>
    <t>Draft Use Spec section of W-C-S012 (M)</t>
  </si>
  <si>
    <t>Draft Roebling tab on Radius.  Migrate info and retire Roebling external site (S)</t>
  </si>
  <si>
    <t>Guidance Doc | Outline VRS documentation for internal review (M)</t>
  </si>
  <si>
    <t>Finalize "Essential Needs" Examples for PEC Review (M)</t>
  </si>
  <si>
    <t>Jan Valenzuela</t>
  </si>
  <si>
    <t>Finalize "Essential Needs" Definition (Phase 1) for PEC Review (M)</t>
  </si>
  <si>
    <t>Implementation Plan/ Milestone Chart (M)</t>
  </si>
  <si>
    <t>PLT Presentation (M)</t>
  </si>
  <si>
    <t>DMADVV Process Map (L)</t>
  </si>
  <si>
    <t>Support Pelvis team with Val labs (S)</t>
  </si>
  <si>
    <t>Identify Extended Review Team for Roebling Tools (S)</t>
  </si>
  <si>
    <t>Post Charter Process Map - VRS (S)</t>
  </si>
  <si>
    <t>Set up Future PEC Steering Committee Meetings (M)</t>
  </si>
  <si>
    <t>Roebling Stakeholder Exit Interviews (M)</t>
  </si>
  <si>
    <t>Standard Tool Rollout Plan for 2020 (S)</t>
  </si>
  <si>
    <t>Standard DEx Tool - SIPOC - Phase 1 (M)</t>
  </si>
  <si>
    <t>Draft Ankle Fusion with Use Spec and Req't Map (M)</t>
  </si>
  <si>
    <t>Post Charter Process Map - RTM (S)</t>
  </si>
  <si>
    <t>Draft Agenda to cover with VA Clavicle team reconnect meeting (S)</t>
  </si>
  <si>
    <t>Mind Map Rollout Plan and align with team (S)</t>
  </si>
  <si>
    <t>Kick off NPD R&amp;D Playbook (M)</t>
  </si>
  <si>
    <t>Finalize Use Spec Requirements  (M)</t>
  </si>
  <si>
    <t>not used</t>
  </si>
  <si>
    <t>Sprint 14: ENTER DATES</t>
  </si>
  <si>
    <t>Implementation Execution | L3 Training TFS (M)</t>
  </si>
  <si>
    <t>Type of Needs review with PEC Steering Committee (S)</t>
  </si>
  <si>
    <t>Align DEx process with Stakeholders (M)</t>
  </si>
  <si>
    <t>Borderline Results Guidance Review with PEC Steering Committee 5 Mar (S)</t>
  </si>
  <si>
    <t>Guidance Doc | Draft VRS documentation for internal review (L)</t>
  </si>
  <si>
    <t>Needs development review with PEC Steering Committee (S)</t>
  </si>
  <si>
    <t>Overall Process Review with PEC Steering Committee (S)</t>
  </si>
  <si>
    <t>SME Development Plan (M)</t>
  </si>
  <si>
    <t>Review L2 Training and make updates as needed (M)</t>
  </si>
  <si>
    <t>Review L2 Training and Update as needed (M)</t>
  </si>
  <si>
    <t>TTM Coordination &amp; Updates (S)</t>
  </si>
  <si>
    <t>Guidance Doc | Req Cascade Draft (L)</t>
  </si>
  <si>
    <t>Draft CA - Complete Remaining Redlines (L)</t>
  </si>
  <si>
    <t>Paul Scilingo</t>
  </si>
  <si>
    <t>Req. Spec | Create "How to write V&amp;V Strategy" (S)</t>
  </si>
  <si>
    <t>Meet with SLT Leads to align on role (S)</t>
  </si>
  <si>
    <t>VA Clavicle team Reconnect meeting (S)</t>
  </si>
  <si>
    <t>Learn Jonathan's RTM Validator Tool (M)</t>
  </si>
  <si>
    <t>Draft Roebling tab on Radius.  Migrate info and retire Roebling external site (M)</t>
  </si>
  <si>
    <t>Guidance Doc | Dex - Develop Outline (M)</t>
  </si>
  <si>
    <t>Internal team review/feedback on Roebling Appendix 1. (L)</t>
  </si>
  <si>
    <t>Clarify Needs and when to Validate / Validate with User. (M)</t>
  </si>
  <si>
    <t>Transfer of Reqt map into RTM via a macro (L)</t>
  </si>
  <si>
    <t>Guidance Doc | DEx - Draft and Review (L)</t>
  </si>
  <si>
    <t>Decision Tree for Needs:  Get feedback from DQEs/R&amp;D (S)</t>
  </si>
  <si>
    <t>WI Update Planning (L) - plan to show tasks, relationships for release of 1st and subsequent COs</t>
  </si>
  <si>
    <t>Internal team review/feedback on W-C-S012 with Appendix 2. (S)</t>
  </si>
  <si>
    <t>Implementation Execution | L3 Training TBD (M)</t>
  </si>
  <si>
    <t>Internal team review/feedback on Roebling Appendix 1 (S) from Brian</t>
  </si>
  <si>
    <t>Finalize the L3 Project List (M)</t>
  </si>
  <si>
    <t>Review changes to documents in FROM folder (F&amp;DR) (L)</t>
  </si>
  <si>
    <t>Identify 1 or 2 possible Needs that align to the DCRM TFNA - TH for baseline examples in future guidance document. (L)</t>
  </si>
  <si>
    <t>Standard DEx Tool | SIPOC - Phase 2  (S)</t>
  </si>
  <si>
    <t>Smart Plate Engagement (S)</t>
  </si>
  <si>
    <t>Draft TFS through strategy with Ankle Fusion (M)</t>
  </si>
  <si>
    <t>Roebling Update Communication (M) - Republish site, boards in CH</t>
  </si>
  <si>
    <t>Rollout Communication Plan (L) -</t>
  </si>
  <si>
    <t>Guidance Doc - Procedure Map - Compare w/ W-C-S061 and outline (S)</t>
  </si>
  <si>
    <t>Complete Reqt Map so TFS Confidence Eval can begin  with Ankle Fusion(M)</t>
  </si>
  <si>
    <t>Automated data transfer of RTM into VRS (L)</t>
  </si>
  <si>
    <t>Create L3 Training Deck for TFS (M)</t>
  </si>
  <si>
    <t>Repopulate official W-C-S012 from Adaptiv with tracked changes. (S)</t>
  </si>
  <si>
    <t>Coordinate w/ Scope TTM -  TPP, Business Case and Project Scope doc  (S)</t>
  </si>
  <si>
    <t>Identify the slides needing update and re-record (have changed since L2 Training) (M)</t>
  </si>
  <si>
    <t>TTM 2020 Workshops (M)</t>
  </si>
  <si>
    <t>TTM 2020 Workshops (S)</t>
  </si>
  <si>
    <t>Weibull Stat Guidance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</si>
</sst>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0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0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medium">
        <color indexed="64"/>
      </right>
      <top/>
      <bottom style="medium">
        <color theme="1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6" fillId="7" borderId="0" applyNumberFormat="0" applyBorder="0" applyAlignment="0" applyProtection="0"/>
  </cellStyleXfs>
  <cellXfs count="152">
    <xf numFmtId="0" fontId="0" fillId="0" borderId="0" xfId="0"/>
    <xf numFmtId="0" fontId="0" fillId="0" borderId="1" xfId="0" applyFont="1" applyBorder="1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0" fillId="0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6" xfId="0" applyFont="1" applyBorder="1"/>
    <xf numFmtId="0" fontId="0" fillId="0" borderId="7" xfId="0" applyBorder="1"/>
    <xf numFmtId="0" fontId="1" fillId="0" borderId="8" xfId="0" applyFont="1" applyBorder="1"/>
    <xf numFmtId="0" fontId="0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0" fillId="0" borderId="6" xfId="0" applyFont="1" applyFill="1" applyBorder="1" applyAlignment="1">
      <alignment vertical="center" wrapText="1"/>
    </xf>
    <xf numFmtId="0" fontId="0" fillId="0" borderId="6" xfId="0" applyFont="1" applyBorder="1" applyAlignment="1">
      <alignment wrapText="1"/>
    </xf>
    <xf numFmtId="0" fontId="0" fillId="0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9" xfId="0" applyFont="1" applyFill="1" applyBorder="1" applyAlignment="1">
      <alignment vertical="center" wrapText="1"/>
    </xf>
    <xf numFmtId="0" fontId="0" fillId="0" borderId="9" xfId="0" applyFont="1" applyBorder="1" applyAlignment="1">
      <alignment vertical="center" wrapText="1"/>
    </xf>
    <xf numFmtId="0" fontId="5" fillId="0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6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1" fillId="0" borderId="6" xfId="0" applyFont="1" applyFill="1" applyBorder="1"/>
    <xf numFmtId="0" fontId="1" fillId="0" borderId="3" xfId="0" applyFont="1" applyBorder="1"/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6" fillId="7" borderId="0" xfId="2"/>
    <xf numFmtId="0" fontId="1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Border="1"/>
    <xf numFmtId="0" fontId="3" fillId="3" borderId="16" xfId="0" applyFont="1" applyFill="1" applyBorder="1"/>
    <xf numFmtId="0" fontId="3" fillId="3" borderId="17" xfId="0" applyFont="1" applyFill="1" applyBorder="1"/>
    <xf numFmtId="0" fontId="3" fillId="3" borderId="18" xfId="0" applyFont="1" applyFill="1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ont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3" fillId="3" borderId="0" xfId="0" applyFont="1" applyFill="1" applyBorder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2" fillId="0" borderId="0" xfId="0" applyFont="1" applyBorder="1" applyAlignment="1">
      <alignment horizontal="left" wrapText="1"/>
    </xf>
    <xf numFmtId="49" fontId="0" fillId="0" borderId="0" xfId="0" applyNumberFormat="1" applyFont="1" applyBorder="1" applyAlignment="1">
      <alignment horizontal="left" wrapText="1"/>
    </xf>
    <xf numFmtId="0" fontId="3" fillId="3" borderId="16" xfId="0" applyFont="1" applyFill="1" applyBorder="1" applyAlignment="1">
      <alignment wrapText="1"/>
    </xf>
    <xf numFmtId="0" fontId="3" fillId="3" borderId="17" xfId="0" applyFont="1" applyFill="1" applyBorder="1" applyAlignment="1">
      <alignment horizontal="left" wrapText="1"/>
    </xf>
    <xf numFmtId="0" fontId="3" fillId="3" borderId="19" xfId="0" applyFont="1" applyFill="1" applyBorder="1" applyAlignment="1">
      <alignment wrapText="1"/>
    </xf>
    <xf numFmtId="0" fontId="3" fillId="3" borderId="18" xfId="0" applyFont="1" applyFill="1" applyBorder="1" applyAlignment="1">
      <alignment horizontal="left" wrapText="1"/>
    </xf>
    <xf numFmtId="0" fontId="0" fillId="0" borderId="1" xfId="0" applyBorder="1"/>
    <xf numFmtId="0" fontId="0" fillId="8" borderId="1" xfId="0" applyFill="1" applyBorder="1"/>
    <xf numFmtId="0" fontId="0" fillId="0" borderId="20" xfId="0" applyFont="1" applyFill="1" applyBorder="1" applyAlignment="1">
      <alignment vertical="center" wrapText="1"/>
    </xf>
    <xf numFmtId="0" fontId="0" fillId="0" borderId="21" xfId="0" applyFont="1" applyBorder="1" applyAlignment="1">
      <alignment horizontal="left" vertical="center" wrapText="1"/>
    </xf>
    <xf numFmtId="0" fontId="0" fillId="0" borderId="21" xfId="0" applyFont="1" applyBorder="1" applyAlignment="1">
      <alignment vertical="center" wrapText="1"/>
    </xf>
    <xf numFmtId="0" fontId="1" fillId="0" borderId="22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13" xfId="0" applyFont="1" applyFill="1" applyBorder="1" applyAlignment="1">
      <alignment vertical="center" wrapText="1"/>
    </xf>
    <xf numFmtId="0" fontId="0" fillId="0" borderId="14" xfId="0" applyFont="1" applyFill="1" applyBorder="1" applyAlignment="1">
      <alignment vertical="center" wrapText="1"/>
    </xf>
    <xf numFmtId="0" fontId="2" fillId="0" borderId="0" xfId="0" applyFont="1" applyAlignment="1">
      <alignment wrapText="1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1" fillId="0" borderId="13" xfId="0" applyFont="1" applyBorder="1"/>
    <xf numFmtId="0" fontId="0" fillId="0" borderId="14" xfId="0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2" xfId="0" applyFont="1" applyBorder="1" applyAlignment="1">
      <alignment horizontal="center"/>
    </xf>
    <xf numFmtId="0" fontId="0" fillId="0" borderId="25" xfId="0" applyBorder="1"/>
    <xf numFmtId="0" fontId="3" fillId="3" borderId="26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6" xfId="0" applyFont="1" applyFill="1" applyBorder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2" borderId="0" xfId="0" applyFill="1"/>
    <xf numFmtId="0" fontId="0" fillId="0" borderId="13" xfId="0" applyFont="1" applyBorder="1" applyAlignment="1">
      <alignment wrapText="1"/>
    </xf>
    <xf numFmtId="0" fontId="3" fillId="3" borderId="32" xfId="0" applyFont="1" applyFill="1" applyBorder="1" applyAlignment="1">
      <alignment wrapText="1"/>
    </xf>
    <xf numFmtId="0" fontId="3" fillId="3" borderId="31" xfId="0" applyFont="1" applyFill="1" applyBorder="1" applyAlignment="1">
      <alignment horizont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3" fillId="3" borderId="27" xfId="0" applyFont="1" applyFill="1" applyBorder="1" applyAlignment="1">
      <alignment horizont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wrapText="1"/>
    </xf>
    <xf numFmtId="0" fontId="0" fillId="0" borderId="29" xfId="0" applyFont="1" applyBorder="1" applyAlignment="1">
      <alignment horizontal="center" wrapText="1"/>
    </xf>
    <xf numFmtId="0" fontId="0" fillId="0" borderId="33" xfId="0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1" xfId="0" applyFont="1" applyFill="1" applyBorder="1" applyAlignment="1">
      <alignment horizontal="center" vertical="center" wrapText="1"/>
    </xf>
    <xf numFmtId="0" fontId="0" fillId="0" borderId="29" xfId="0" applyNumberFormat="1" applyFont="1" applyBorder="1" applyAlignment="1">
      <alignment horizontal="center" vertical="center" wrapText="1"/>
    </xf>
    <xf numFmtId="0" fontId="0" fillId="0" borderId="2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left" wrapText="1"/>
    </xf>
    <xf numFmtId="0" fontId="0" fillId="0" borderId="36" xfId="0" applyBorder="1"/>
    <xf numFmtId="0" fontId="0" fillId="0" borderId="2" xfId="0" applyBorder="1"/>
    <xf numFmtId="0" fontId="5" fillId="5" borderId="5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0" fontId="3" fillId="3" borderId="37" xfId="0" applyFont="1" applyFill="1" applyBorder="1" applyAlignment="1"/>
    <xf numFmtId="0" fontId="5" fillId="5" borderId="38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6" borderId="38" xfId="0" applyFont="1" applyFill="1" applyBorder="1" applyAlignment="1">
      <alignment horizontal="center"/>
    </xf>
    <xf numFmtId="10" fontId="1" fillId="2" borderId="7" xfId="1" applyNumberFormat="1" applyFont="1" applyFill="1" applyBorder="1" applyAlignment="1">
      <alignment horizontal="center"/>
    </xf>
    <xf numFmtId="0" fontId="3" fillId="3" borderId="34" xfId="0" applyFont="1" applyFill="1" applyBorder="1"/>
    <xf numFmtId="0" fontId="5" fillId="0" borderId="0" xfId="0" applyFont="1" applyFill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0" fillId="0" borderId="42" xfId="0" applyBorder="1"/>
    <xf numFmtId="0" fontId="0" fillId="0" borderId="43" xfId="0" applyBorder="1"/>
    <xf numFmtId="10" fontId="0" fillId="0" borderId="1" xfId="0" applyNumberForma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6" borderId="2" xfId="0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 wrapText="1"/>
    </xf>
    <xf numFmtId="0" fontId="0" fillId="6" borderId="24" xfId="0" applyFont="1" applyFill="1" applyBorder="1" applyAlignment="1">
      <alignment horizontal="center" vertical="center" wrapText="1"/>
    </xf>
    <xf numFmtId="0" fontId="0" fillId="9" borderId="44" xfId="0" applyFont="1" applyFill="1" applyBorder="1" applyAlignment="1">
      <alignment vertical="center" wrapText="1"/>
    </xf>
    <xf numFmtId="0" fontId="0" fillId="9" borderId="45" xfId="0" applyFont="1" applyFill="1" applyBorder="1" applyAlignment="1">
      <alignment horizontal="center" vertical="center" wrapText="1"/>
    </xf>
    <xf numFmtId="0" fontId="0" fillId="9" borderId="46" xfId="0" applyNumberFormat="1" applyFont="1" applyFill="1" applyBorder="1" applyAlignment="1">
      <alignment horizontal="center" vertical="center" wrapText="1"/>
    </xf>
    <xf numFmtId="0" fontId="1" fillId="9" borderId="46" xfId="0" applyFont="1" applyFill="1" applyBorder="1" applyAlignment="1">
      <alignment horizontal="center" vertical="center" wrapText="1"/>
    </xf>
    <xf numFmtId="0" fontId="1" fillId="9" borderId="47" xfId="0" applyFont="1" applyFill="1" applyBorder="1" applyAlignment="1">
      <alignment horizontal="center" vertical="center" wrapText="1"/>
    </xf>
    <xf numFmtId="0" fontId="0" fillId="11" borderId="0" xfId="0" applyFill="1"/>
    <xf numFmtId="0" fontId="0" fillId="4" borderId="0" xfId="0" applyFill="1"/>
    <xf numFmtId="0" fontId="0" fillId="12" borderId="0" xfId="0" applyFill="1"/>
    <xf numFmtId="0" fontId="0" fillId="10" borderId="0" xfId="0" applyFill="1"/>
    <xf numFmtId="0" fontId="0" fillId="13" borderId="0" xfId="0" applyFill="1"/>
    <xf numFmtId="0" fontId="3" fillId="3" borderId="48" xfId="0" applyFont="1" applyFill="1" applyBorder="1" applyAlignment="1">
      <alignment wrapText="1"/>
    </xf>
    <xf numFmtId="0" fontId="3" fillId="3" borderId="49" xfId="0" applyFont="1" applyFill="1" applyBorder="1" applyAlignment="1">
      <alignment horizontal="center" wrapText="1"/>
    </xf>
    <xf numFmtId="0" fontId="3" fillId="3" borderId="50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left" wrapText="1"/>
    </xf>
  </cellXfs>
  <cellStyles count="3">
    <cellStyle name="Good" xfId="2" builtinId="26"/>
    <cellStyle name="Normal" xfId="0" builtinId="0"/>
    <cellStyle name="Percent" xfId="1" builtinId="5"/>
  </cellStyles>
  <dxfs count="47"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ont>
        <b/>
        <i val="0"/>
        <color auto="1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C6EFCE"/>
        </patternFill>
      </fill>
    </dxf>
    <dxf>
      <border outline="0">
        <bottom style="medium">
          <color theme="1"/>
        </bottom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00FF00"/>
        </patternFill>
      </fill>
    </dxf>
    <dxf>
      <fill>
        <patternFill patternType="solid">
          <fgColor indexed="64"/>
          <bgColor rgb="FFC6EFCE"/>
        </patternFill>
      </fill>
    </dxf>
    <dxf>
      <border outline="0">
        <bottom style="medium">
          <color theme="1"/>
        </bottom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medium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700"/>
      <color rgb="FF9C000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15</xdr:row>
          <xdr:rowOff>114300</xdr:rowOff>
        </xdr:from>
        <xdr:to>
          <xdr:col>2</xdr:col>
          <xdr:colOff>561975</xdr:colOff>
          <xdr:row>21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Sprint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224789</xdr:colOff>
      <xdr:row>4</xdr:row>
      <xdr:rowOff>148590</xdr:rowOff>
    </xdr:from>
    <xdr:to>
      <xdr:col>11</xdr:col>
      <xdr:colOff>114300</xdr:colOff>
      <xdr:row>18</xdr:row>
      <xdr:rowOff>106680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865369" y="918210"/>
          <a:ext cx="4156711" cy="2625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How To: </a:t>
          </a:r>
        </a:p>
        <a:p>
          <a:r>
            <a:rPr lang="en-US" sz="1600" b="0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Guide to importing</a:t>
          </a:r>
          <a:r>
            <a:rPr lang="en-US" sz="1600" b="0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Scrum Board to Excel Report</a:t>
          </a:r>
          <a:endParaRPr lang="en-US" sz="1400" b="0" i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lang="en-US" sz="1400"/>
            <a:t>1.</a:t>
          </a:r>
          <a:r>
            <a:rPr lang="en-US" sz="1400" baseline="0"/>
            <a:t> Go to Scrum Stormboard for current sprint.</a:t>
          </a:r>
        </a:p>
        <a:p>
          <a:r>
            <a:rPr lang="en-US" sz="1400" baseline="0"/>
            <a:t>2. Find "</a:t>
          </a:r>
          <a:r>
            <a:rPr lang="en-US" sz="1400" b="1" baseline="0"/>
            <a:t>Reports</a:t>
          </a:r>
          <a:r>
            <a:rPr lang="en-US" sz="1400" baseline="0"/>
            <a:t>" at the bottom of the screen, choose </a:t>
          </a:r>
          <a:r>
            <a:rPr lang="en-US" sz="1400" b="1" baseline="0"/>
            <a:t>Microsoft Excel </a:t>
          </a:r>
          <a:r>
            <a:rPr lang="en-US" sz="1400" baseline="0"/>
            <a:t>and </a:t>
          </a:r>
          <a:r>
            <a:rPr lang="en-US" sz="1400" b="1" baseline="0"/>
            <a:t>Run Report. </a:t>
          </a:r>
          <a:r>
            <a:rPr lang="en-US" sz="1400" b="0" baseline="0"/>
            <a:t>Make sure all options are checked off (default) and Run Report. </a:t>
          </a:r>
        </a:p>
        <a:p>
          <a:r>
            <a:rPr lang="en-US" sz="1400" b="0" baseline="0"/>
            <a:t>3. In the top right corner, click </a:t>
          </a:r>
          <a:r>
            <a:rPr lang="en-US" sz="1400" b="1" baseline="0"/>
            <a:t>Download</a:t>
          </a:r>
          <a:r>
            <a:rPr lang="en-US" sz="1400" b="0" baseline="0"/>
            <a:t>.</a:t>
          </a:r>
        </a:p>
        <a:p>
          <a:r>
            <a:rPr lang="en-US" sz="1400" b="0" baseline="0"/>
            <a:t>4. Click button </a:t>
          </a:r>
          <a:r>
            <a:rPr lang="en-US" sz="1400" b="1" baseline="0"/>
            <a:t>Populate Sprint.</a:t>
          </a:r>
        </a:p>
        <a:p>
          <a:r>
            <a:rPr lang="en-US" sz="1400" b="0" baseline="0"/>
            <a:t>5. Enter </a:t>
          </a:r>
          <a:r>
            <a:rPr lang="en-US" sz="1400" b="1" baseline="0"/>
            <a:t>Sprint Number </a:t>
          </a:r>
          <a:r>
            <a:rPr lang="en-US" sz="1400" b="0" baseline="0"/>
            <a:t>when prompted.</a:t>
          </a:r>
        </a:p>
        <a:p>
          <a:r>
            <a:rPr lang="en-US" sz="1400" b="0" baseline="0"/>
            <a:t>6. Choose file that was exported from Stormboard corresponding to your current sprint.</a:t>
          </a:r>
        </a:p>
      </xdr:txBody>
    </xdr:sp>
    <xdr:clientData/>
  </xdr:twoCellAnchor>
  <xdr:twoCellAnchor>
    <xdr:from>
      <xdr:col>4</xdr:col>
      <xdr:colOff>228600</xdr:colOff>
      <xdr:row>19</xdr:row>
      <xdr:rowOff>161925</xdr:rowOff>
    </xdr:from>
    <xdr:to>
      <xdr:col>11</xdr:col>
      <xdr:colOff>118111</xdr:colOff>
      <xdr:row>27</xdr:row>
      <xdr:rowOff>161925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867275" y="3790950"/>
          <a:ext cx="4156711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Tips: </a:t>
          </a:r>
        </a:p>
        <a:p>
          <a:r>
            <a:rPr lang="en-US" sz="1400" b="0" baseline="0"/>
            <a:t>- Make sure each Scrum board story is </a:t>
          </a:r>
          <a:r>
            <a:rPr lang="en-US" sz="1400" b="1" baseline="0"/>
            <a:t>assigned</a:t>
          </a:r>
          <a:r>
            <a:rPr lang="en-US" sz="1400" b="0" baseline="0"/>
            <a:t> to a Team Member</a:t>
          </a:r>
        </a:p>
        <a:p>
          <a:r>
            <a:rPr lang="en-US" sz="1400" b="0" baseline="0"/>
            <a:t>- Make sure each Scrum board story is sized by </a:t>
          </a:r>
          <a:r>
            <a:rPr lang="en-US" sz="1400" b="1" baseline="0"/>
            <a:t>(S), (M), or (L) </a:t>
          </a:r>
          <a:r>
            <a:rPr lang="en-US" sz="1400" b="0" baseline="0"/>
            <a:t>appending the sticky note</a:t>
          </a:r>
        </a:p>
        <a:p>
          <a:r>
            <a:rPr lang="en-US" sz="1400" b="0" baseline="0"/>
            <a:t>- Make sure each story is placed in correct </a:t>
          </a:r>
          <a:r>
            <a:rPr lang="en-US" sz="1400" b="1" baseline="0"/>
            <a:t>priority</a:t>
          </a:r>
          <a:r>
            <a:rPr lang="en-US" sz="1400" b="0" baseline="0"/>
            <a:t> bin</a:t>
          </a:r>
        </a:p>
      </xdr:txBody>
    </xdr:sp>
    <xdr:clientData/>
  </xdr:twoCellAnchor>
  <xdr:twoCellAnchor>
    <xdr:from>
      <xdr:col>11</xdr:col>
      <xdr:colOff>504825</xdr:colOff>
      <xdr:row>19</xdr:row>
      <xdr:rowOff>38099</xdr:rowOff>
    </xdr:from>
    <xdr:to>
      <xdr:col>16</xdr:col>
      <xdr:colOff>342900</xdr:colOff>
      <xdr:row>30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A720BDA-2B4F-444C-B0F5-419500D4FC09}"/>
            </a:ext>
          </a:extLst>
        </xdr:cNvPr>
        <xdr:cNvSpPr txBox="1"/>
      </xdr:nvSpPr>
      <xdr:spPr>
        <a:xfrm>
          <a:off x="9410700" y="3667124"/>
          <a:ext cx="2886075" cy="2105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Error</a:t>
          </a:r>
          <a:r>
            <a:rPr 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? </a:t>
          </a:r>
          <a:r>
            <a:rPr lang="en-US" sz="1200" b="0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Choose End</a:t>
          </a:r>
          <a:r>
            <a:rPr lang="en-US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</a:t>
          </a:r>
        </a:p>
        <a:p>
          <a:r>
            <a:rPr lang="en-US" sz="1050" b="0" baseline="0"/>
            <a:t>- Did you choose the correct exported file?</a:t>
          </a:r>
        </a:p>
        <a:p>
          <a:r>
            <a:rPr lang="en-US" sz="1050" b="0" baseline="0"/>
            <a:t>- Are macros disabled? Enable under formula bar.</a:t>
          </a:r>
        </a:p>
        <a:p>
          <a:r>
            <a:rPr lang="en-US" sz="1050" b="0" baseline="0"/>
            <a:t>- Is there already a sheet named as your current sprint? Rename the sheet with the duplicate name and run again.</a:t>
          </a:r>
        </a:p>
        <a:p>
          <a:r>
            <a:rPr lang="en-US" sz="1050" b="0" baseline="0"/>
            <a:t>- Is there a sheet that goes consecutively before your current sprint? Rename the most recent sheet so that the number goes right before the current one (for formatting purposes).</a:t>
          </a:r>
        </a:p>
        <a:p>
          <a:r>
            <a:rPr lang="en-US" sz="1050" b="0" baseline="0"/>
            <a:t>- Other questions/concers? Contact Joy (jiaconia@its.jnj.com).</a:t>
          </a:r>
        </a:p>
        <a:p>
          <a:endParaRPr lang="en-US" sz="1050" b="0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4EEE62-A0D7-4C58-8091-23788951ABAD}" name="Table2" displayName="Table2" ref="A1:H24" totalsRowShown="0" headerRowDxfId="46" tableBorderDxfId="45">
  <autoFilter ref="A1:H24" xr:uid="{8B3B1EFE-2ACE-4E4A-B699-27213342C2B3}"/>
  <sortState xmlns:xlrd2="http://schemas.microsoft.com/office/spreadsheetml/2017/richdata2" ref="A2:G24">
    <sortCondition descending="1" ref="C2:C24"/>
    <sortCondition descending="1" ref="F2:F24"/>
    <sortCondition ref="D2:D24"/>
  </sortState>
  <tableColumns count="8">
    <tableColumn id="1" xr3:uid="{3F0E9093-AAF4-468A-96F4-D13B1E81E028}" name="Story" dataDxfId="44"/>
    <tableColumn id="2" xr3:uid="{3B8A70A1-DAAC-456A-82D1-4EE6B34C8BF2}" name="Size" dataDxfId="43"/>
    <tableColumn id="3" xr3:uid="{7665B662-5D4D-42BC-A3BF-889ECA3BF207}" name="Points" dataDxfId="42">
      <calculatedColumnFormula>+VLOOKUP(B2,'DATA SHEET'!$B$3:$C$7,2,FALSE)</calculatedColumnFormula>
    </tableColumn>
    <tableColumn id="4" xr3:uid="{34727E1C-0778-4D4F-8505-ADDF5D3D140F}" name="Responsible" dataDxfId="41"/>
    <tableColumn id="5" xr3:uid="{ABA761A8-F4E4-4BD5-9D72-44BBF98A6773}" name="Priority" dataDxfId="40"/>
    <tableColumn id="7" xr3:uid="{B92EE3FB-C925-4DB9-8E7A-F084C9D4FDBE}" name="PRIO RANK" dataDxfId="39">
      <calculatedColumnFormula>+VLOOKUP(E2,'DATA SHEET'!$B$10:$C$12,2,FALSE)</calculatedColumnFormula>
    </tableColumn>
    <tableColumn id="6" xr3:uid="{E832D67D-34EF-475D-98A4-C6BFD1215A1E}" name="Done" dataDxfId="38"/>
    <tableColumn id="8" xr3:uid="{3B6D2361-8F7E-4FE2-822E-5C2A0E165FB1}" name="New?" dataDxfId="3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4BA249-6EFB-48B8-87DA-EC0850D6CD6D}" name="Table5" displayName="Table5" ref="A1:H36" totalsRowShown="0" headerRowDxfId="32" headerRowBorderDxfId="35" tableBorderDxfId="36">
  <autoFilter ref="A1:H36" xr:uid="{9F3B74FB-12E8-4536-ADB5-D41CDC585C87}"/>
  <tableColumns count="8">
    <tableColumn id="1" xr3:uid="{70EA715B-99CD-4EA7-8877-9C2A32FCB491}" name="Story"/>
    <tableColumn id="2" xr3:uid="{1CDFB533-3127-474E-BE11-7B311537FAD1}" name="Size"/>
    <tableColumn id="3" xr3:uid="{03EB893E-4C0E-4505-9129-5E24B10A3899}" name="Points">
      <calculatedColumnFormula>+VLOOKUP(B2,'DATA SHEET'!$B$3:$C$7,2,FALSE)</calculatedColumnFormula>
    </tableColumn>
    <tableColumn id="4" xr3:uid="{5C191EE1-3984-45A3-B525-2761F7A7A03F}" name="Responsible"/>
    <tableColumn id="5" xr3:uid="{D1548F97-A00E-4E16-B021-5B7E0A7F7493}" name="Priority" dataDxfId="34"/>
    <tableColumn id="6" xr3:uid="{E146AE33-3D85-46F5-B414-9EBA541BE8E5}" name="PRIO RANK">
      <calculatedColumnFormula>+VLOOKUP(E2,'DATA SHEET'!$B$10:$C$12,2,FALSE)</calculatedColumnFormula>
    </tableColumn>
    <tableColumn id="7" xr3:uid="{7A5866EF-5A1E-4EF7-BEB7-B3B8B17B73C7}" name="Done" dataDxfId="33"/>
    <tableColumn id="8" xr3:uid="{377E5ED9-A2B0-41B1-90A2-8DF9BC86702E}" name="New?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06A3E1-5DF4-4953-A138-62A5F89F0D26}" name="Table7" displayName="Table7" ref="A1:H48" totalsRowShown="0" headerRowDxfId="27" headerRowBorderDxfId="30" tableBorderDxfId="31">
  <autoFilter ref="A1:H48" xr:uid="{A1138B65-49C9-4320-A4B1-068EB6C5009B}"/>
  <tableColumns count="8">
    <tableColumn id="1" xr3:uid="{8185C4AA-44BD-459E-9BF4-25491C0AC1A0}" name="Story"/>
    <tableColumn id="2" xr3:uid="{E72788F9-B4A7-4902-9FA8-6B455C6DD933}" name="Size"/>
    <tableColumn id="3" xr3:uid="{B76E69F6-950D-4934-8C9D-6DC106276308}" name="Points">
      <calculatedColumnFormula>+VLOOKUP(B2,'DATA SHEET'!$B$3:$C$7,2,FALSE)</calculatedColumnFormula>
    </tableColumn>
    <tableColumn id="4" xr3:uid="{C0746D6C-C309-4C72-84CD-A2B8CC3CD694}" name="Responsible"/>
    <tableColumn id="5" xr3:uid="{53BC290C-7DEF-48D7-A569-3E0D426839DC}" name="Priority" dataDxfId="29"/>
    <tableColumn id="6" xr3:uid="{ACD6F8D6-AEA5-4283-BF8D-FFDC87A10AB1}" name="PRIO RANK">
      <calculatedColumnFormula>+VLOOKUP(E2,'DATA SHEET'!$B$10:$C$12,2,FALSE)</calculatedColumnFormula>
    </tableColumn>
    <tableColumn id="7" xr3:uid="{CA668F05-FD56-49DE-B22E-A9D1E40121EC}" name="Done" dataDxfId="28"/>
    <tableColumn id="8" xr3:uid="{C2365A4D-A4AA-43C5-8962-A0B3A29FF858}" name="New?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E6988-3028-4239-A772-31CD3A719A46}">
  <sheetPr codeName="Sheet2"/>
  <dimension ref="A1:D14"/>
  <sheetViews>
    <sheetView topLeftCell="A7" workbookViewId="0">
      <selection activeCell="E32" sqref="E32"/>
    </sheetView>
  </sheetViews>
  <sheetFormatPr defaultRowHeight="15" x14ac:dyDescent="0.25"/>
  <cols>
    <col min="1" max="1" width="42.140625" bestFit="1" customWidth="1"/>
  </cols>
  <sheetData>
    <row r="1" spans="1:4" ht="15.75" thickBot="1" x14ac:dyDescent="0.3"/>
    <row r="2" spans="1:4" x14ac:dyDescent="0.25">
      <c r="A2" s="75" t="s">
        <v>0</v>
      </c>
      <c r="B2" s="76" t="s">
        <v>1</v>
      </c>
      <c r="C2" s="77" t="s">
        <v>2</v>
      </c>
    </row>
    <row r="3" spans="1:4" x14ac:dyDescent="0.25">
      <c r="A3" s="82" t="s">
        <v>3</v>
      </c>
      <c r="B3" s="78" t="s">
        <v>4</v>
      </c>
      <c r="C3" s="79">
        <v>1</v>
      </c>
      <c r="D3" t="s">
        <v>203</v>
      </c>
    </row>
    <row r="4" spans="1:4" x14ac:dyDescent="0.25">
      <c r="A4" s="82" t="s">
        <v>5</v>
      </c>
      <c r="B4" s="78" t="s">
        <v>6</v>
      </c>
      <c r="C4" s="79">
        <v>2</v>
      </c>
    </row>
    <row r="5" spans="1:4" x14ac:dyDescent="0.25">
      <c r="A5" s="82" t="s">
        <v>7</v>
      </c>
      <c r="B5" s="78" t="s">
        <v>8</v>
      </c>
      <c r="C5" s="79">
        <v>3</v>
      </c>
    </row>
    <row r="6" spans="1:4" x14ac:dyDescent="0.25">
      <c r="A6" s="82" t="s">
        <v>9</v>
      </c>
      <c r="B6" s="78" t="s">
        <v>10</v>
      </c>
      <c r="C6" s="79">
        <v>5</v>
      </c>
    </row>
    <row r="7" spans="1:4" x14ac:dyDescent="0.25">
      <c r="A7" s="82" t="s">
        <v>11</v>
      </c>
      <c r="B7" s="80" t="s">
        <v>12</v>
      </c>
      <c r="C7" s="81">
        <v>8</v>
      </c>
      <c r="D7" t="s">
        <v>203</v>
      </c>
    </row>
    <row r="9" spans="1:4" x14ac:dyDescent="0.25">
      <c r="A9" s="75" t="s">
        <v>0</v>
      </c>
      <c r="B9" s="76" t="s">
        <v>13</v>
      </c>
      <c r="C9" s="77" t="s">
        <v>14</v>
      </c>
    </row>
    <row r="10" spans="1:4" x14ac:dyDescent="0.25">
      <c r="A10" s="82" t="s">
        <v>15</v>
      </c>
      <c r="B10" s="78" t="s">
        <v>16</v>
      </c>
      <c r="C10" s="79">
        <v>3</v>
      </c>
    </row>
    <row r="11" spans="1:4" x14ac:dyDescent="0.25">
      <c r="A11" s="82" t="s">
        <v>17</v>
      </c>
      <c r="B11" s="78" t="s">
        <v>8</v>
      </c>
      <c r="C11" s="79">
        <v>2</v>
      </c>
    </row>
    <row r="12" spans="1:4" x14ac:dyDescent="0.25">
      <c r="A12" s="82" t="s">
        <v>18</v>
      </c>
      <c r="B12" s="78" t="s">
        <v>10</v>
      </c>
      <c r="C12" s="79">
        <v>1</v>
      </c>
    </row>
    <row r="13" spans="1:4" x14ac:dyDescent="0.25">
      <c r="A13" s="82"/>
      <c r="B13" s="78"/>
      <c r="C13" s="79"/>
    </row>
    <row r="14" spans="1:4" x14ac:dyDescent="0.25">
      <c r="A14" s="82"/>
      <c r="B14" s="80"/>
      <c r="C14" s="8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rum">
                <anchor moveWithCells="1" sizeWithCells="1">
                  <from>
                    <xdr:col>0</xdr:col>
                    <xdr:colOff>695325</xdr:colOff>
                    <xdr:row>15</xdr:row>
                    <xdr:rowOff>114300</xdr:rowOff>
                  </from>
                  <to>
                    <xdr:col>2</xdr:col>
                    <xdr:colOff>561975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AB6B1-969E-4933-B734-71BEA63D45BD}">
  <sheetPr codeName="Sheet1"/>
  <dimension ref="A1:L47"/>
  <sheetViews>
    <sheetView zoomScaleNormal="100" workbookViewId="0">
      <pane ySplit="1" topLeftCell="A2" activePane="bottomLeft" state="frozen"/>
      <selection activeCell="A27" sqref="A27"/>
      <selection pane="bottomLeft" activeCell="E2" sqref="E2"/>
    </sheetView>
  </sheetViews>
  <sheetFormatPr defaultRowHeight="15" x14ac:dyDescent="0.25"/>
  <cols>
    <col min="1" max="1" width="11.5703125" style="64" customWidth="1"/>
    <col min="2" max="2" width="65.7109375" style="8" customWidth="1"/>
    <col min="3" max="3" width="42.140625" style="8" bestFit="1" customWidth="1"/>
    <col min="4" max="4" width="5.42578125" style="9" customWidth="1"/>
    <col min="5" max="5" width="6.7109375" style="9" customWidth="1"/>
    <col min="6" max="6" width="8.42578125" style="9" customWidth="1"/>
    <col min="7" max="7" width="13.28515625" style="8" customWidth="1"/>
    <col min="8" max="8" width="8.85546875" style="8"/>
    <col min="9" max="9" width="12.140625" style="8" bestFit="1" customWidth="1"/>
    <col min="10" max="11" width="8.85546875" style="4"/>
    <col min="12" max="12" width="8.85546875" style="5"/>
    <col min="13" max="13" width="15.42578125" customWidth="1"/>
  </cols>
  <sheetData>
    <row r="1" spans="2:12" ht="16.5" customHeight="1" x14ac:dyDescent="0.25">
      <c r="B1" s="46" t="s">
        <v>19</v>
      </c>
      <c r="C1" s="46" t="s">
        <v>0</v>
      </c>
      <c r="D1" s="47" t="s">
        <v>1</v>
      </c>
      <c r="E1" s="47" t="s">
        <v>20</v>
      </c>
      <c r="F1" s="47" t="s">
        <v>21</v>
      </c>
      <c r="G1" s="46" t="s">
        <v>22</v>
      </c>
      <c r="H1" s="47" t="s">
        <v>23</v>
      </c>
      <c r="I1" s="47" t="s">
        <v>24</v>
      </c>
    </row>
    <row r="2" spans="2:12" x14ac:dyDescent="0.25">
      <c r="B2" s="61" t="s">
        <v>25</v>
      </c>
      <c r="C2" s="55"/>
      <c r="D2" s="55"/>
      <c r="E2" s="56" t="e">
        <f>VLOOKUP(D2,'DATA SHEET'!$B$3:$C$7,2,FALSE)</f>
        <v>#N/A</v>
      </c>
      <c r="F2" s="55"/>
      <c r="G2" s="55" t="s">
        <v>26</v>
      </c>
      <c r="H2" s="55" t="s">
        <v>8</v>
      </c>
      <c r="I2" s="55"/>
      <c r="J2"/>
      <c r="K2"/>
      <c r="L2"/>
    </row>
    <row r="3" spans="2:12" x14ac:dyDescent="0.25">
      <c r="B3" t="s">
        <v>125</v>
      </c>
      <c r="C3"/>
      <c r="D3" t="s">
        <v>10</v>
      </c>
      <c r="E3" s="56">
        <f>VLOOKUP(D3,'DATA SHEET'!$B$3:$C$7,2,FALSE)</f>
        <v>5</v>
      </c>
      <c r="F3"/>
      <c r="G3" t="s">
        <v>34</v>
      </c>
      <c r="H3" t="s">
        <v>16</v>
      </c>
      <c r="I3"/>
      <c r="J3"/>
      <c r="K3"/>
      <c r="L3"/>
    </row>
    <row r="4" spans="2:12" x14ac:dyDescent="0.25">
      <c r="B4" t="s">
        <v>127</v>
      </c>
      <c r="C4"/>
      <c r="D4"/>
      <c r="E4" s="56" t="e">
        <f>VLOOKUP(D4,'DATA SHEET'!$B$3:$C$7,2,FALSE)</f>
        <v>#N/A</v>
      </c>
      <c r="F4"/>
      <c r="G4" t="s">
        <v>27</v>
      </c>
      <c r="H4" t="s">
        <v>16</v>
      </c>
      <c r="I4"/>
      <c r="J4"/>
      <c r="K4"/>
      <c r="L4"/>
    </row>
    <row r="5" spans="2:12" x14ac:dyDescent="0.25">
      <c r="B5" t="s">
        <v>128</v>
      </c>
      <c r="C5"/>
      <c r="D5"/>
      <c r="E5" s="56" t="e">
        <f>VLOOKUP(D5,'DATA SHEET'!$B$3:$C$7,2,FALSE)</f>
        <v>#N/A</v>
      </c>
      <c r="F5"/>
      <c r="G5" t="s">
        <v>34</v>
      </c>
      <c r="H5" t="s">
        <v>16</v>
      </c>
      <c r="I5"/>
      <c r="J5"/>
      <c r="K5"/>
      <c r="L5"/>
    </row>
    <row r="6" spans="2:12" x14ac:dyDescent="0.25">
      <c r="B6" t="s">
        <v>131</v>
      </c>
      <c r="C6"/>
      <c r="D6"/>
      <c r="E6" s="56" t="e">
        <f>VLOOKUP(D6,'DATA SHEET'!$B$3:$C$7,2,FALSE)</f>
        <v>#N/A</v>
      </c>
      <c r="F6"/>
      <c r="G6" t="s">
        <v>26</v>
      </c>
      <c r="H6" t="s">
        <v>16</v>
      </c>
      <c r="I6"/>
      <c r="J6"/>
      <c r="K6"/>
      <c r="L6"/>
    </row>
    <row r="7" spans="2:12" x14ac:dyDescent="0.25">
      <c r="B7" t="s">
        <v>132</v>
      </c>
      <c r="C7"/>
      <c r="D7"/>
      <c r="E7" s="56" t="e">
        <f>VLOOKUP(D7,'DATA SHEET'!$B$3:$C$7,2,FALSE)</f>
        <v>#N/A</v>
      </c>
      <c r="F7"/>
      <c r="G7" t="s">
        <v>27</v>
      </c>
      <c r="H7" t="s">
        <v>16</v>
      </c>
      <c r="I7"/>
      <c r="J7"/>
      <c r="K7"/>
      <c r="L7"/>
    </row>
    <row r="8" spans="2:12" x14ac:dyDescent="0.25">
      <c r="B8" t="s">
        <v>133</v>
      </c>
      <c r="C8"/>
      <c r="D8"/>
      <c r="E8" s="56" t="e">
        <f>VLOOKUP(D8,'DATA SHEET'!$B$3:$C$7,2,FALSE)</f>
        <v>#N/A</v>
      </c>
      <c r="F8"/>
      <c r="G8" t="s">
        <v>34</v>
      </c>
      <c r="H8" t="s">
        <v>16</v>
      </c>
      <c r="I8"/>
      <c r="J8"/>
      <c r="K8"/>
      <c r="L8"/>
    </row>
    <row r="9" spans="2:12" x14ac:dyDescent="0.25">
      <c r="B9" t="s">
        <v>134</v>
      </c>
      <c r="C9"/>
      <c r="D9"/>
      <c r="E9" s="56" t="e">
        <f>VLOOKUP(D9,'DATA SHEET'!$B$3:$C$7,2,FALSE)</f>
        <v>#N/A</v>
      </c>
      <c r="F9"/>
      <c r="G9" t="s">
        <v>27</v>
      </c>
      <c r="H9" t="s">
        <v>16</v>
      </c>
      <c r="I9"/>
      <c r="J9"/>
      <c r="K9"/>
      <c r="L9"/>
    </row>
    <row r="10" spans="2:12" x14ac:dyDescent="0.25">
      <c r="B10" t="s">
        <v>136</v>
      </c>
      <c r="C10"/>
      <c r="D10"/>
      <c r="E10" s="56" t="e">
        <f>VLOOKUP(D10,'DATA SHEET'!$B$3:$C$7,2,FALSE)</f>
        <v>#N/A</v>
      </c>
      <c r="F10"/>
      <c r="G10" t="s">
        <v>27</v>
      </c>
      <c r="H10" t="s">
        <v>16</v>
      </c>
      <c r="I10"/>
      <c r="J10"/>
      <c r="K10"/>
      <c r="L10"/>
    </row>
    <row r="11" spans="2:12" x14ac:dyDescent="0.25">
      <c r="B11" t="s">
        <v>137</v>
      </c>
      <c r="C11"/>
      <c r="D11"/>
      <c r="E11" s="56" t="e">
        <f>VLOOKUP(D11,'DATA SHEET'!$B$3:$C$7,2,FALSE)</f>
        <v>#N/A</v>
      </c>
      <c r="F11"/>
      <c r="G11" t="s">
        <v>34</v>
      </c>
      <c r="H11" t="s">
        <v>16</v>
      </c>
      <c r="I11"/>
      <c r="J11"/>
      <c r="K11"/>
      <c r="L11"/>
    </row>
    <row r="12" spans="2:12" x14ac:dyDescent="0.25">
      <c r="B12" t="s">
        <v>140</v>
      </c>
      <c r="C12"/>
      <c r="D12"/>
      <c r="E12" s="56" t="e">
        <f>VLOOKUP(D12,'DATA SHEET'!$B$3:$C$7,2,FALSE)</f>
        <v>#N/A</v>
      </c>
      <c r="F12"/>
      <c r="G12" t="s">
        <v>126</v>
      </c>
      <c r="H12" t="s">
        <v>16</v>
      </c>
      <c r="I12"/>
      <c r="J12"/>
      <c r="K12"/>
      <c r="L12"/>
    </row>
    <row r="13" spans="2:12" x14ac:dyDescent="0.25">
      <c r="B13" t="s">
        <v>141</v>
      </c>
      <c r="C13"/>
      <c r="D13"/>
      <c r="E13" s="56" t="e">
        <f>VLOOKUP(D13,'DATA SHEET'!$B$3:$C$7,2,FALSE)</f>
        <v>#N/A</v>
      </c>
      <c r="F13"/>
      <c r="G13" t="s">
        <v>27</v>
      </c>
      <c r="H13" t="s">
        <v>16</v>
      </c>
      <c r="I13"/>
      <c r="J13"/>
      <c r="K13"/>
      <c r="L13"/>
    </row>
    <row r="14" spans="2:12" x14ac:dyDescent="0.25">
      <c r="B14" t="s">
        <v>142</v>
      </c>
      <c r="C14"/>
      <c r="D14"/>
      <c r="E14" s="56" t="e">
        <f>VLOOKUP(D14,'DATA SHEET'!$B$3:$C$7,2,FALSE)</f>
        <v>#N/A</v>
      </c>
      <c r="F14"/>
      <c r="G14" t="s">
        <v>30</v>
      </c>
      <c r="H14" t="s">
        <v>16</v>
      </c>
      <c r="I14"/>
      <c r="J14"/>
      <c r="K14"/>
      <c r="L14"/>
    </row>
    <row r="15" spans="2:12" x14ac:dyDescent="0.25">
      <c r="B15" t="s">
        <v>143</v>
      </c>
      <c r="C15"/>
      <c r="D15"/>
      <c r="E15" s="56" t="e">
        <f>VLOOKUP(D15,'DATA SHEET'!$B$3:$C$7,2,FALSE)</f>
        <v>#N/A</v>
      </c>
      <c r="F15"/>
      <c r="G15" t="s">
        <v>27</v>
      </c>
      <c r="H15" t="s">
        <v>8</v>
      </c>
      <c r="I15"/>
      <c r="J15"/>
      <c r="K15"/>
      <c r="L15"/>
    </row>
    <row r="16" spans="2:12" x14ac:dyDescent="0.25">
      <c r="B16" t="s">
        <v>144</v>
      </c>
      <c r="C16"/>
      <c r="D16"/>
      <c r="E16" s="56" t="e">
        <f>VLOOKUP(D16,'DATA SHEET'!$B$3:$C$7,2,FALSE)</f>
        <v>#N/A</v>
      </c>
      <c r="F16"/>
      <c r="G16" t="s">
        <v>34</v>
      </c>
      <c r="H16" t="s">
        <v>8</v>
      </c>
      <c r="I16"/>
      <c r="J16"/>
      <c r="K16"/>
      <c r="L16"/>
    </row>
    <row r="17" spans="2:12" x14ac:dyDescent="0.25">
      <c r="B17" t="s">
        <v>145</v>
      </c>
      <c r="C17"/>
      <c r="D17"/>
      <c r="E17" s="56" t="e">
        <f>VLOOKUP(D17,'DATA SHEET'!$B$3:$C$7,2,FALSE)</f>
        <v>#N/A</v>
      </c>
      <c r="F17"/>
      <c r="G17" t="s">
        <v>30</v>
      </c>
      <c r="H17" t="s">
        <v>8</v>
      </c>
      <c r="I17"/>
      <c r="J17"/>
      <c r="K17"/>
      <c r="L17"/>
    </row>
    <row r="18" spans="2:12" x14ac:dyDescent="0.25">
      <c r="B18" t="s">
        <v>146</v>
      </c>
      <c r="C18"/>
      <c r="D18"/>
      <c r="E18" s="56" t="e">
        <f>VLOOKUP(D18,'DATA SHEET'!$B$3:$C$7,2,FALSE)</f>
        <v>#N/A</v>
      </c>
      <c r="F18"/>
      <c r="G18" t="s">
        <v>126</v>
      </c>
      <c r="H18" t="s">
        <v>8</v>
      </c>
      <c r="I18"/>
      <c r="J18"/>
      <c r="K18"/>
      <c r="L18"/>
    </row>
    <row r="19" spans="2:12" x14ac:dyDescent="0.25">
      <c r="B19" t="s">
        <v>31</v>
      </c>
      <c r="C19"/>
      <c r="D19"/>
      <c r="E19" s="56" t="e">
        <f>VLOOKUP(D19,'DATA SHEET'!$B$3:$C$7,2,FALSE)</f>
        <v>#N/A</v>
      </c>
      <c r="F19"/>
      <c r="G19" t="s">
        <v>34</v>
      </c>
      <c r="H19" t="s">
        <v>8</v>
      </c>
      <c r="I19"/>
      <c r="J19"/>
      <c r="K19"/>
      <c r="L19"/>
    </row>
    <row r="20" spans="2:12" x14ac:dyDescent="0.25">
      <c r="B20" t="s">
        <v>147</v>
      </c>
      <c r="C20"/>
      <c r="D20"/>
      <c r="E20" s="56" t="e">
        <f>VLOOKUP(D20,'DATA SHEET'!$B$3:$C$7,2,FALSE)</f>
        <v>#N/A</v>
      </c>
      <c r="F20"/>
      <c r="G20" t="s">
        <v>30</v>
      </c>
      <c r="H20" t="s">
        <v>8</v>
      </c>
      <c r="I20"/>
      <c r="J20"/>
      <c r="K20"/>
      <c r="L20"/>
    </row>
    <row r="21" spans="2:12" x14ac:dyDescent="0.25">
      <c r="B21" t="s">
        <v>148</v>
      </c>
      <c r="C21"/>
      <c r="D21"/>
      <c r="E21" s="56" t="e">
        <f>VLOOKUP(D21,'DATA SHEET'!$B$3:$C$7,2,FALSE)</f>
        <v>#N/A</v>
      </c>
      <c r="F21"/>
      <c r="G21" t="s">
        <v>126</v>
      </c>
      <c r="H21" t="s">
        <v>8</v>
      </c>
      <c r="I21"/>
      <c r="J21"/>
      <c r="K21"/>
      <c r="L21"/>
    </row>
    <row r="22" spans="2:12" x14ac:dyDescent="0.25">
      <c r="B22" t="s">
        <v>152</v>
      </c>
      <c r="C22"/>
      <c r="D22" t="s">
        <v>8</v>
      </c>
      <c r="E22" s="56">
        <f>VLOOKUP(D22,'DATA SHEET'!$B$3:$C$7,2,FALSE)</f>
        <v>3</v>
      </c>
      <c r="F22"/>
      <c r="G22" t="s">
        <v>32</v>
      </c>
      <c r="H22" t="s">
        <v>8</v>
      </c>
      <c r="I22"/>
      <c r="J22"/>
      <c r="K22"/>
      <c r="L22"/>
    </row>
    <row r="23" spans="2:12" x14ac:dyDescent="0.25">
      <c r="B23" t="s">
        <v>153</v>
      </c>
      <c r="C23"/>
      <c r="D23" t="s">
        <v>8</v>
      </c>
      <c r="E23" s="56">
        <f>VLOOKUP(D23,'DATA SHEET'!$B$3:$C$7,2,FALSE)</f>
        <v>3</v>
      </c>
      <c r="F23"/>
      <c r="G23" t="s">
        <v>32</v>
      </c>
      <c r="H23" t="s">
        <v>8</v>
      </c>
      <c r="I23"/>
      <c r="J23"/>
      <c r="K23"/>
      <c r="L23"/>
    </row>
    <row r="24" spans="2:12" x14ac:dyDescent="0.25">
      <c r="B24" t="s">
        <v>151</v>
      </c>
      <c r="C24"/>
      <c r="D24"/>
      <c r="E24" s="56" t="e">
        <f>VLOOKUP(D24,'DATA SHEET'!$B$3:$C$7,2,FALSE)</f>
        <v>#N/A</v>
      </c>
      <c r="F24"/>
      <c r="G24" t="s">
        <v>34</v>
      </c>
      <c r="H24" t="s">
        <v>8</v>
      </c>
      <c r="I24"/>
      <c r="J24"/>
      <c r="K24"/>
      <c r="L24"/>
    </row>
    <row r="25" spans="2:12" x14ac:dyDescent="0.25">
      <c r="B25" t="s">
        <v>150</v>
      </c>
      <c r="C25"/>
      <c r="D25"/>
      <c r="E25" s="56" t="e">
        <f>VLOOKUP(D25,'DATA SHEET'!$B$3:$C$7,2,FALSE)</f>
        <v>#N/A</v>
      </c>
      <c r="F25"/>
      <c r="G25" t="s">
        <v>126</v>
      </c>
      <c r="H25"/>
      <c r="I25"/>
      <c r="J25"/>
      <c r="K25"/>
      <c r="L25"/>
    </row>
    <row r="26" spans="2:12" x14ac:dyDescent="0.25">
      <c r="B26" t="s">
        <v>149</v>
      </c>
      <c r="C26"/>
      <c r="D26"/>
      <c r="E26" s="56" t="e">
        <f>VLOOKUP(D26,'DATA SHEET'!$B$3:$C$7,2,FALSE)</f>
        <v>#N/A</v>
      </c>
      <c r="F26"/>
      <c r="G26" t="s">
        <v>30</v>
      </c>
      <c r="H26" t="s">
        <v>8</v>
      </c>
      <c r="I26"/>
      <c r="J26"/>
      <c r="K26"/>
      <c r="L26"/>
    </row>
    <row r="27" spans="2:12" x14ac:dyDescent="0.25">
      <c r="B27" t="s">
        <v>139</v>
      </c>
      <c r="C27"/>
      <c r="D27"/>
      <c r="E27" s="56" t="e">
        <f>VLOOKUP(D27,'DATA SHEET'!$B$3:$C$7,2,FALSE)</f>
        <v>#N/A</v>
      </c>
      <c r="F27"/>
      <c r="G27" t="s">
        <v>27</v>
      </c>
      <c r="H27" t="s">
        <v>10</v>
      </c>
      <c r="I27"/>
      <c r="J27"/>
      <c r="K27"/>
      <c r="L27"/>
    </row>
    <row r="28" spans="2:12" x14ac:dyDescent="0.25">
      <c r="B28" t="s">
        <v>129</v>
      </c>
      <c r="C28"/>
      <c r="D28"/>
      <c r="E28" s="56" t="e">
        <f>VLOOKUP(D28,'DATA SHEET'!$B$3:$C$7,2,FALSE)</f>
        <v>#N/A</v>
      </c>
      <c r="F28"/>
      <c r="G28" t="s">
        <v>30</v>
      </c>
      <c r="H28" t="s">
        <v>10</v>
      </c>
      <c r="I28"/>
      <c r="J28"/>
      <c r="K28"/>
      <c r="L28"/>
    </row>
    <row r="29" spans="2:12" x14ac:dyDescent="0.25">
      <c r="B29" t="s">
        <v>138</v>
      </c>
      <c r="C29"/>
      <c r="D29"/>
      <c r="E29" s="56" t="e">
        <f>VLOOKUP(D29,'DATA SHEET'!$B$3:$C$7,2,FALSE)</f>
        <v>#N/A</v>
      </c>
      <c r="F29"/>
      <c r="G29" t="s">
        <v>27</v>
      </c>
      <c r="H29" t="s">
        <v>10</v>
      </c>
      <c r="I29"/>
      <c r="J29"/>
      <c r="K29"/>
      <c r="L29"/>
    </row>
    <row r="30" spans="2:12" x14ac:dyDescent="0.25">
      <c r="B30" t="s">
        <v>135</v>
      </c>
      <c r="C30"/>
      <c r="D30"/>
      <c r="E30" s="56" t="e">
        <f>VLOOKUP(D30,'DATA SHEET'!$B$3:$C$7,2,FALSE)</f>
        <v>#N/A</v>
      </c>
      <c r="F30"/>
      <c r="G30" t="s">
        <v>30</v>
      </c>
      <c r="H30" t="s">
        <v>10</v>
      </c>
      <c r="I30"/>
      <c r="J30"/>
      <c r="K30"/>
      <c r="L30"/>
    </row>
    <row r="31" spans="2:12" x14ac:dyDescent="0.25">
      <c r="B31" t="s">
        <v>130</v>
      </c>
      <c r="C31"/>
      <c r="D31"/>
      <c r="E31" s="56" t="e">
        <f>VLOOKUP(D31,'DATA SHEET'!$B$3:$C$7,2,FALSE)</f>
        <v>#N/A</v>
      </c>
      <c r="F31"/>
      <c r="G31" t="s">
        <v>34</v>
      </c>
      <c r="H31" t="s">
        <v>10</v>
      </c>
      <c r="I31"/>
      <c r="J31"/>
      <c r="K31"/>
      <c r="L31"/>
    </row>
    <row r="32" spans="2:12" ht="30" x14ac:dyDescent="0.25">
      <c r="B32" s="8" t="s">
        <v>157</v>
      </c>
      <c r="E32" s="56" t="e">
        <f>VLOOKUP(D32,'DATA SHEET'!$B$3:$C$7,2,FALSE)</f>
        <v>#N/A</v>
      </c>
      <c r="G32" s="8" t="s">
        <v>126</v>
      </c>
    </row>
    <row r="33" spans="2:8" x14ac:dyDescent="0.25">
      <c r="B33" s="8" t="s">
        <v>158</v>
      </c>
      <c r="D33" s="9" t="s">
        <v>8</v>
      </c>
      <c r="E33" s="56">
        <f>VLOOKUP(D33,'DATA SHEET'!$B$3:$C$7,2,FALSE)</f>
        <v>3</v>
      </c>
      <c r="G33" s="8" t="s">
        <v>34</v>
      </c>
    </row>
    <row r="34" spans="2:8" x14ac:dyDescent="0.25">
      <c r="B34" s="8" t="s">
        <v>159</v>
      </c>
      <c r="D34" s="9" t="s">
        <v>6</v>
      </c>
      <c r="E34" s="56">
        <f>VLOOKUP(D34,'DATA SHEET'!$B$3:$C$7,2,FALSE)</f>
        <v>2</v>
      </c>
      <c r="G34" s="8" t="s">
        <v>32</v>
      </c>
    </row>
    <row r="35" spans="2:8" x14ac:dyDescent="0.25">
      <c r="B35" s="8" t="s">
        <v>160</v>
      </c>
      <c r="D35" s="9" t="s">
        <v>8</v>
      </c>
      <c r="E35" s="56">
        <f>VLOOKUP(D35,'DATA SHEET'!$B$3:$C$7,2,FALSE)</f>
        <v>3</v>
      </c>
      <c r="G35" s="8" t="s">
        <v>27</v>
      </c>
    </row>
    <row r="36" spans="2:8" x14ac:dyDescent="0.25">
      <c r="B36" s="8" t="s">
        <v>205</v>
      </c>
      <c r="D36" s="9" t="s">
        <v>8</v>
      </c>
      <c r="E36" s="56">
        <f>VLOOKUP(D36,'DATA SHEET'!$B$3:$C$7,2,FALSE)</f>
        <v>3</v>
      </c>
      <c r="G36" s="8" t="s">
        <v>26</v>
      </c>
      <c r="H36" s="8" t="s">
        <v>16</v>
      </c>
    </row>
    <row r="37" spans="2:8" x14ac:dyDescent="0.25">
      <c r="B37" s="8" t="s">
        <v>206</v>
      </c>
      <c r="D37" s="9" t="s">
        <v>6</v>
      </c>
      <c r="E37" s="56">
        <f>VLOOKUP(D37,'DATA SHEET'!$B$3:$C$7,2,FALSE)</f>
        <v>2</v>
      </c>
      <c r="G37" s="8" t="s">
        <v>34</v>
      </c>
      <c r="H37" s="8" t="s">
        <v>16</v>
      </c>
    </row>
    <row r="38" spans="2:8" x14ac:dyDescent="0.25">
      <c r="B38" s="8" t="s">
        <v>207</v>
      </c>
      <c r="D38" s="9" t="s">
        <v>8</v>
      </c>
      <c r="E38" s="56">
        <f>VLOOKUP(D38,'DATA SHEET'!$B$3:$C$7,2,FALSE)</f>
        <v>3</v>
      </c>
      <c r="G38" s="8" t="s">
        <v>27</v>
      </c>
      <c r="H38" s="8" t="s">
        <v>16</v>
      </c>
    </row>
    <row r="39" spans="2:8" ht="30" x14ac:dyDescent="0.25">
      <c r="B39" s="8" t="s">
        <v>208</v>
      </c>
      <c r="D39" s="9" t="s">
        <v>6</v>
      </c>
      <c r="E39" s="56">
        <f>VLOOKUP(D39,'DATA SHEET'!$B$3:$C$7,2,FALSE)</f>
        <v>2</v>
      </c>
      <c r="G39" s="8" t="s">
        <v>26</v>
      </c>
      <c r="H39" s="8" t="s">
        <v>16</v>
      </c>
    </row>
    <row r="40" spans="2:8" x14ac:dyDescent="0.25">
      <c r="B40" s="8" t="s">
        <v>209</v>
      </c>
      <c r="E40" s="56" t="e">
        <f>VLOOKUP(D40,'DATA SHEET'!$B$3:$C$7,2,FALSE)</f>
        <v>#N/A</v>
      </c>
      <c r="G40" s="8" t="s">
        <v>26</v>
      </c>
      <c r="H40" s="8" t="s">
        <v>16</v>
      </c>
    </row>
    <row r="41" spans="2:8" x14ac:dyDescent="0.25">
      <c r="B41" s="8" t="s">
        <v>210</v>
      </c>
      <c r="D41" s="9" t="s">
        <v>6</v>
      </c>
      <c r="E41" s="56">
        <f>VLOOKUP(D41,'DATA SHEET'!$B$3:$C$7,2,FALSE)</f>
        <v>2</v>
      </c>
      <c r="G41" s="8" t="s">
        <v>34</v>
      </c>
      <c r="H41" s="8" t="s">
        <v>16</v>
      </c>
    </row>
    <row r="42" spans="2:8" x14ac:dyDescent="0.25">
      <c r="B42" s="8" t="s">
        <v>211</v>
      </c>
      <c r="D42" s="9" t="s">
        <v>6</v>
      </c>
      <c r="E42" s="56">
        <f>VLOOKUP(D42,'DATA SHEET'!$B$3:$C$7,2,FALSE)</f>
        <v>2</v>
      </c>
      <c r="G42" s="8" t="s">
        <v>27</v>
      </c>
      <c r="H42" s="8" t="s">
        <v>8</v>
      </c>
    </row>
    <row r="43" spans="2:8" x14ac:dyDescent="0.25">
      <c r="B43" s="8" t="s">
        <v>212</v>
      </c>
      <c r="D43" s="9" t="s">
        <v>8</v>
      </c>
      <c r="E43" s="56">
        <f>VLOOKUP(D43,'DATA SHEET'!$B$3:$C$7,2,FALSE)</f>
        <v>3</v>
      </c>
      <c r="G43" s="8" t="s">
        <v>27</v>
      </c>
      <c r="H43" s="8" t="s">
        <v>8</v>
      </c>
    </row>
    <row r="44" spans="2:8" x14ac:dyDescent="0.25">
      <c r="B44" s="8" t="s">
        <v>213</v>
      </c>
      <c r="D44" s="9" t="s">
        <v>8</v>
      </c>
      <c r="E44" s="56">
        <f>VLOOKUP(D44,'DATA SHEET'!$B$3:$C$7,2,FALSE)</f>
        <v>3</v>
      </c>
      <c r="G44" s="8" t="s">
        <v>34</v>
      </c>
      <c r="H44" s="8" t="s">
        <v>10</v>
      </c>
    </row>
    <row r="45" spans="2:8" x14ac:dyDescent="0.25">
      <c r="B45" s="8" t="s">
        <v>214</v>
      </c>
      <c r="D45" s="9" t="s">
        <v>8</v>
      </c>
      <c r="E45" s="56">
        <f>VLOOKUP(D45,'DATA SHEET'!$B$3:$C$7,2,FALSE)</f>
        <v>3</v>
      </c>
      <c r="G45" s="8" t="s">
        <v>26</v>
      </c>
      <c r="H45" s="8" t="s">
        <v>10</v>
      </c>
    </row>
    <row r="46" spans="2:8" x14ac:dyDescent="0.25">
      <c r="B46" s="8" t="s">
        <v>215</v>
      </c>
      <c r="D46" s="9" t="s">
        <v>6</v>
      </c>
      <c r="E46" s="56">
        <f>VLOOKUP(D46,'DATA SHEET'!$B$3:$C$7,2,FALSE)</f>
        <v>2</v>
      </c>
      <c r="G46" s="8" t="s">
        <v>27</v>
      </c>
      <c r="H46" s="8" t="s">
        <v>10</v>
      </c>
    </row>
    <row r="47" spans="2:8" x14ac:dyDescent="0.25">
      <c r="B47" s="8" t="s">
        <v>227</v>
      </c>
      <c r="E47" s="56" t="e">
        <f>VLOOKUP(D47,'DATA SHEET'!$B$3:$C$7,2,FALSE)</f>
        <v>#N/A</v>
      </c>
      <c r="G47" s="8" t="s">
        <v>32</v>
      </c>
      <c r="H47" s="8" t="s">
        <v>10</v>
      </c>
    </row>
  </sheetData>
  <conditionalFormatting sqref="I1 I32:I1048576">
    <cfRule type="beginsWith" dxfId="26" priority="5" operator="beginsWith" text="N">
      <formula>LEFT(I1,LEN("N"))="N"</formula>
    </cfRule>
    <cfRule type="beginsWith" dxfId="25" priority="6" operator="beginsWith" text="Y">
      <formula>LEFT(I1,LEN("Y"))="Y"</formula>
    </cfRule>
  </conditionalFormatting>
  <dataValidations count="1">
    <dataValidation type="list" allowBlank="1" showInputMessage="1" showErrorMessage="1" sqref="H2" xr:uid="{E2FFDCC3-368F-463F-BA83-0DAE7A507403}">
      <formula1>"H,M,L"</formula1>
    </dataValidation>
  </dataValidations>
  <pageMargins left="0.25" right="0.25" top="0.25" bottom="0.2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8B331F-5DF4-4A41-AB71-0139F7B9776F}">
          <x14:formula1>
            <xm:f>'DATA SHEET'!$B$3:$B$7</xm:f>
          </x14:formula1>
          <xm:sqref>D2</xm:sqref>
        </x14:dataValidation>
        <x14:dataValidation type="list" allowBlank="1" showInputMessage="1" showErrorMessage="1" xr:uid="{204C2F7B-F541-404C-A1A9-A6F52B812A8F}">
          <x14:formula1>
            <xm:f>'DATA SHEET'!$A$3:$A$11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2CC06-7DBA-4BEA-AF81-7C0D21D8BDFE}">
  <sheetPr codeName="Sheet6"/>
  <dimension ref="A1:L58"/>
  <sheetViews>
    <sheetView zoomScaleNormal="100" workbookViewId="0">
      <pane ySplit="1" topLeftCell="A2" activePane="bottomLeft" state="frozen"/>
      <selection activeCell="A27" sqref="A27"/>
      <selection pane="bottomLeft" activeCell="C15" sqref="C15"/>
    </sheetView>
  </sheetViews>
  <sheetFormatPr defaultRowHeight="15" x14ac:dyDescent="0.25"/>
  <cols>
    <col min="1" max="1" width="11.5703125" style="64" customWidth="1"/>
    <col min="2" max="2" width="65.7109375" style="8" customWidth="1"/>
    <col min="3" max="3" width="42.140625" style="8" bestFit="1" customWidth="1"/>
    <col min="4" max="4" width="5.42578125" style="9" customWidth="1"/>
    <col min="5" max="5" width="6.7109375" style="9" customWidth="1"/>
    <col min="6" max="6" width="8.42578125" style="9" customWidth="1"/>
    <col min="7" max="7" width="13.28515625" style="8" customWidth="1"/>
    <col min="8" max="8" width="9.140625" style="8"/>
    <col min="9" max="9" width="12.140625" style="8" bestFit="1" customWidth="1"/>
    <col min="10" max="11" width="9.140625" style="4"/>
    <col min="12" max="12" width="9.140625" style="5"/>
    <col min="13" max="13" width="15.42578125" customWidth="1"/>
  </cols>
  <sheetData>
    <row r="1" spans="2:12" ht="16.5" customHeight="1" x14ac:dyDescent="0.25">
      <c r="B1" s="46" t="s">
        <v>19</v>
      </c>
      <c r="C1" s="46" t="s">
        <v>0</v>
      </c>
      <c r="D1" s="47" t="s">
        <v>1</v>
      </c>
      <c r="E1" s="47" t="s">
        <v>20</v>
      </c>
      <c r="F1" s="47" t="s">
        <v>21</v>
      </c>
      <c r="G1" s="46" t="s">
        <v>22</v>
      </c>
      <c r="H1" s="47" t="s">
        <v>23</v>
      </c>
      <c r="I1" s="47" t="s">
        <v>24</v>
      </c>
    </row>
    <row r="2" spans="2:12" x14ac:dyDescent="0.25">
      <c r="B2" s="61" t="s">
        <v>35</v>
      </c>
      <c r="C2" s="55"/>
      <c r="D2" s="55"/>
      <c r="E2" s="56" t="e">
        <f>VLOOKUP(D2,'DATA SHEET'!$B$3:$C$7,2,FALSE)</f>
        <v>#N/A</v>
      </c>
      <c r="F2" s="55"/>
      <c r="G2" s="55"/>
      <c r="H2" s="55"/>
      <c r="I2" s="55"/>
      <c r="J2"/>
      <c r="K2"/>
      <c r="L2"/>
    </row>
    <row r="3" spans="2:12" x14ac:dyDescent="0.25">
      <c r="B3" s="61" t="s">
        <v>36</v>
      </c>
      <c r="C3" s="55"/>
      <c r="D3" s="55"/>
      <c r="E3" s="56" t="e">
        <f>VLOOKUP(D3,'DATA SHEET'!$B$3:$C$7,2,FALSE)</f>
        <v>#N/A</v>
      </c>
      <c r="F3" s="55"/>
      <c r="G3" s="55" t="s">
        <v>30</v>
      </c>
      <c r="H3" s="55"/>
      <c r="I3" s="55"/>
      <c r="J3"/>
      <c r="K3"/>
      <c r="L3"/>
    </row>
    <row r="4" spans="2:12" x14ac:dyDescent="0.25">
      <c r="B4" s="61" t="s">
        <v>37</v>
      </c>
      <c r="C4" s="55"/>
      <c r="D4" s="55"/>
      <c r="E4" s="56" t="e">
        <f>VLOOKUP(D4,'DATA SHEET'!$B$3:$C$7,2,FALSE)</f>
        <v>#N/A</v>
      </c>
      <c r="F4" s="55"/>
      <c r="G4" s="55" t="s">
        <v>30</v>
      </c>
      <c r="H4" s="55"/>
      <c r="I4" s="55"/>
      <c r="J4"/>
      <c r="K4"/>
      <c r="L4"/>
    </row>
    <row r="5" spans="2:12" x14ac:dyDescent="0.25">
      <c r="B5" s="61" t="s">
        <v>38</v>
      </c>
      <c r="C5" s="55"/>
      <c r="D5" s="55"/>
      <c r="E5" s="56" t="e">
        <f>VLOOKUP(D5,'DATA SHEET'!$B$3:$C$7,2,FALSE)</f>
        <v>#N/A</v>
      </c>
      <c r="F5" s="55"/>
      <c r="G5" s="55" t="s">
        <v>30</v>
      </c>
      <c r="H5" s="55"/>
      <c r="I5" s="55"/>
      <c r="J5"/>
      <c r="K5"/>
      <c r="L5"/>
    </row>
    <row r="6" spans="2:12" x14ac:dyDescent="0.25">
      <c r="B6" s="61" t="s">
        <v>39</v>
      </c>
      <c r="C6" s="55"/>
      <c r="D6" s="55"/>
      <c r="E6" s="56" t="e">
        <f>VLOOKUP(D6,'DATA SHEET'!$B$3:$C$7,2,FALSE)</f>
        <v>#N/A</v>
      </c>
      <c r="F6" s="55"/>
      <c r="G6" s="55"/>
      <c r="H6" s="55"/>
      <c r="I6" s="55"/>
      <c r="J6"/>
      <c r="K6"/>
      <c r="L6"/>
    </row>
    <row r="7" spans="2:12" x14ac:dyDescent="0.25">
      <c r="B7" s="61" t="s">
        <v>40</v>
      </c>
      <c r="C7" s="55"/>
      <c r="D7" s="55"/>
      <c r="E7" s="56" t="e">
        <f>VLOOKUP(D7,'DATA SHEET'!$B$3:$C$7,2,FALSE)</f>
        <v>#N/A</v>
      </c>
      <c r="F7" s="55"/>
      <c r="G7" s="55"/>
      <c r="H7" s="55"/>
      <c r="I7" s="55"/>
      <c r="J7"/>
      <c r="K7"/>
      <c r="L7"/>
    </row>
    <row r="8" spans="2:12" x14ac:dyDescent="0.25">
      <c r="B8" s="61" t="s">
        <v>41</v>
      </c>
      <c r="C8" s="55"/>
      <c r="D8" s="55"/>
      <c r="E8" s="56" t="e">
        <f>VLOOKUP(D8,'DATA SHEET'!$B$3:$C$7,2,FALSE)</f>
        <v>#N/A</v>
      </c>
      <c r="F8" s="55"/>
      <c r="G8" s="55"/>
      <c r="H8" s="55"/>
      <c r="I8" s="55"/>
      <c r="J8"/>
      <c r="K8"/>
      <c r="L8"/>
    </row>
    <row r="9" spans="2:12" x14ac:dyDescent="0.25">
      <c r="B9" s="61" t="s">
        <v>42</v>
      </c>
      <c r="C9" s="55"/>
      <c r="D9" s="55"/>
      <c r="E9" s="56" t="e">
        <f>VLOOKUP(D9,'DATA SHEET'!$B$3:$C$7,2,FALSE)</f>
        <v>#N/A</v>
      </c>
      <c r="F9" s="55"/>
      <c r="G9" s="55"/>
      <c r="H9" s="55"/>
      <c r="I9" s="55"/>
      <c r="J9"/>
      <c r="K9"/>
      <c r="L9"/>
    </row>
    <row r="10" spans="2:12" x14ac:dyDescent="0.25">
      <c r="B10" s="61" t="s">
        <v>43</v>
      </c>
      <c r="C10" s="55"/>
      <c r="D10" s="55"/>
      <c r="E10" s="56" t="e">
        <f>VLOOKUP(D10,'DATA SHEET'!$B$3:$C$7,2,FALSE)</f>
        <v>#N/A</v>
      </c>
      <c r="F10" s="55"/>
      <c r="G10" s="55" t="s">
        <v>30</v>
      </c>
      <c r="H10" s="55"/>
      <c r="I10" s="55"/>
      <c r="J10"/>
      <c r="K10"/>
      <c r="L10"/>
    </row>
    <row r="11" spans="2:12" x14ac:dyDescent="0.25">
      <c r="B11" s="61" t="s">
        <v>44</v>
      </c>
      <c r="C11" s="55"/>
      <c r="D11" s="55"/>
      <c r="E11" s="56" t="e">
        <f>VLOOKUP(D11,'DATA SHEET'!$B$3:$C$7,2,FALSE)</f>
        <v>#N/A</v>
      </c>
      <c r="F11" s="55"/>
      <c r="H11" s="55"/>
      <c r="I11" s="55"/>
      <c r="J11"/>
      <c r="K11"/>
      <c r="L11"/>
    </row>
    <row r="12" spans="2:12" x14ac:dyDescent="0.25">
      <c r="B12" s="61" t="s">
        <v>45</v>
      </c>
      <c r="C12" s="55"/>
      <c r="D12" s="55"/>
      <c r="E12" s="56" t="e">
        <f>VLOOKUP(D12,'DATA SHEET'!$B$3:$C$7,2,FALSE)</f>
        <v>#N/A</v>
      </c>
      <c r="F12" s="55"/>
      <c r="G12" s="55"/>
      <c r="H12" s="55"/>
      <c r="I12" s="55"/>
      <c r="J12"/>
      <c r="K12"/>
      <c r="L12"/>
    </row>
    <row r="13" spans="2:12" x14ac:dyDescent="0.25">
      <c r="B13" s="61"/>
      <c r="C13" s="55"/>
      <c r="D13" s="55"/>
      <c r="E13" s="56" t="e">
        <f>VLOOKUP(D13,'DATA SHEET'!$B$3:$C$7,2,FALSE)</f>
        <v>#N/A</v>
      </c>
      <c r="F13" s="55"/>
      <c r="G13" s="55"/>
      <c r="H13" s="55"/>
      <c r="I13" s="55"/>
      <c r="J13"/>
      <c r="K13"/>
      <c r="L13"/>
    </row>
    <row r="14" spans="2:12" x14ac:dyDescent="0.25">
      <c r="B14" s="61"/>
      <c r="C14" s="55"/>
      <c r="D14" s="55"/>
      <c r="E14" s="56" t="e">
        <f>VLOOKUP(D14,'DATA SHEET'!$B$3:$C$7,2,FALSE)</f>
        <v>#N/A</v>
      </c>
      <c r="F14" s="55"/>
      <c r="G14" s="55"/>
      <c r="H14" s="55"/>
      <c r="I14" s="55"/>
      <c r="J14"/>
      <c r="K14"/>
      <c r="L14"/>
    </row>
    <row r="15" spans="2:12" x14ac:dyDescent="0.25">
      <c r="B15" s="61"/>
      <c r="C15" s="55"/>
      <c r="D15" s="55"/>
      <c r="E15" s="56" t="e">
        <f>VLOOKUP(D15,'DATA SHEET'!$B$3:$C$7,2,FALSE)</f>
        <v>#N/A</v>
      </c>
      <c r="F15" s="55"/>
      <c r="G15" s="55"/>
      <c r="H15" s="55"/>
      <c r="I15" s="55"/>
      <c r="J15"/>
      <c r="K15"/>
      <c r="L15"/>
    </row>
    <row r="16" spans="2:12" x14ac:dyDescent="0.25">
      <c r="B16" s="61"/>
      <c r="C16" s="55"/>
      <c r="D16" s="55"/>
      <c r="E16" s="56" t="e">
        <f>VLOOKUP(D16,'DATA SHEET'!$B$3:$C$7,2,FALSE)</f>
        <v>#N/A</v>
      </c>
      <c r="F16" s="55"/>
      <c r="G16" s="55"/>
      <c r="H16" s="55"/>
      <c r="I16" s="55"/>
      <c r="J16"/>
      <c r="K16"/>
      <c r="L16"/>
    </row>
    <row r="17" spans="2:12" x14ac:dyDescent="0.25">
      <c r="B17" s="61"/>
      <c r="C17" s="55"/>
      <c r="D17" s="55"/>
      <c r="E17" s="56" t="e">
        <f>VLOOKUP(D17,'DATA SHEET'!$B$3:$C$7,2,FALSE)</f>
        <v>#N/A</v>
      </c>
      <c r="F17" s="55"/>
      <c r="G17" s="55"/>
      <c r="H17" s="55"/>
      <c r="I17" s="55"/>
      <c r="J17"/>
      <c r="K17"/>
      <c r="L17"/>
    </row>
    <row r="18" spans="2:12" x14ac:dyDescent="0.25">
      <c r="B18" s="61"/>
      <c r="C18" s="55"/>
      <c r="D18" s="55"/>
      <c r="E18" s="56" t="e">
        <f>VLOOKUP(D18,'DATA SHEET'!$B$3:$C$7,2,FALSE)</f>
        <v>#N/A</v>
      </c>
      <c r="F18" s="55"/>
      <c r="G18" s="55"/>
      <c r="H18" s="55"/>
      <c r="I18" s="55"/>
      <c r="J18"/>
      <c r="K18"/>
      <c r="L18"/>
    </row>
    <row r="19" spans="2:12" x14ac:dyDescent="0.25">
      <c r="B19" s="62"/>
      <c r="C19" s="55"/>
      <c r="D19" s="55"/>
      <c r="E19" s="56" t="e">
        <f>VLOOKUP(D19,'DATA SHEET'!$B$3:$C$7,2,FALSE)</f>
        <v>#N/A</v>
      </c>
      <c r="F19" s="55"/>
      <c r="G19" s="63"/>
      <c r="H19" s="55"/>
      <c r="I19" s="55"/>
      <c r="J19"/>
      <c r="K19"/>
      <c r="L19"/>
    </row>
    <row r="20" spans="2:12" x14ac:dyDescent="0.25">
      <c r="B20" s="61"/>
      <c r="C20" s="55"/>
      <c r="D20" s="55"/>
      <c r="E20" s="56" t="e">
        <f>VLOOKUP(D20,'DATA SHEET'!$B$3:$C$7,2,FALSE)</f>
        <v>#N/A</v>
      </c>
      <c r="F20" s="55"/>
      <c r="G20" s="55"/>
      <c r="H20" s="55"/>
      <c r="I20" s="55"/>
      <c r="J20"/>
      <c r="K20"/>
      <c r="L20"/>
    </row>
    <row r="21" spans="2:12" x14ac:dyDescent="0.25">
      <c r="B21" s="21"/>
      <c r="C21" s="55"/>
      <c r="D21" s="55"/>
      <c r="E21" s="56" t="e">
        <f>VLOOKUP(D21,'DATA SHEET'!$B$3:$C$7,2,FALSE)</f>
        <v>#N/A</v>
      </c>
      <c r="F21" s="55"/>
      <c r="G21" s="55"/>
      <c r="H21" s="55"/>
      <c r="I21" s="55"/>
      <c r="J21"/>
      <c r="K21"/>
      <c r="L21"/>
    </row>
    <row r="22" spans="2:12" x14ac:dyDescent="0.25">
      <c r="B22" s="21"/>
      <c r="C22" s="55"/>
      <c r="D22" s="55"/>
      <c r="E22" s="56" t="e">
        <f>VLOOKUP(D22,'DATA SHEET'!$B$3:$C$7,2,FALSE)</f>
        <v>#N/A</v>
      </c>
      <c r="F22" s="55"/>
      <c r="G22" s="55"/>
      <c r="H22" s="55"/>
      <c r="I22" s="55"/>
      <c r="J22"/>
      <c r="K22"/>
      <c r="L22"/>
    </row>
    <row r="23" spans="2:12" x14ac:dyDescent="0.25">
      <c r="B23" s="21"/>
      <c r="C23" s="55"/>
      <c r="D23" s="55"/>
      <c r="E23" s="56" t="e">
        <f>VLOOKUP(D23,'DATA SHEET'!$B$3:$C$7,2,FALSE)</f>
        <v>#N/A</v>
      </c>
      <c r="F23" s="55"/>
      <c r="G23" s="55"/>
      <c r="H23" s="55"/>
      <c r="I23" s="55"/>
      <c r="J23"/>
      <c r="K23"/>
      <c r="L23"/>
    </row>
    <row r="24" spans="2:12" x14ac:dyDescent="0.25">
      <c r="B24" s="61"/>
      <c r="C24" s="55"/>
      <c r="D24" s="55"/>
      <c r="E24" s="56" t="e">
        <f>VLOOKUP(D24,'DATA SHEET'!$B$3:$C$7,2,FALSE)</f>
        <v>#N/A</v>
      </c>
      <c r="F24" s="55"/>
      <c r="G24" s="55"/>
      <c r="H24" s="55"/>
      <c r="I24" s="55"/>
      <c r="J24"/>
      <c r="K24"/>
      <c r="L24"/>
    </row>
    <row r="25" spans="2:12" x14ac:dyDescent="0.25">
      <c r="B25" s="21"/>
      <c r="C25" s="55"/>
      <c r="D25" s="55"/>
      <c r="E25" s="56" t="e">
        <f>VLOOKUP(D25,'DATA SHEET'!$B$3:$C$7,2,FALSE)</f>
        <v>#N/A</v>
      </c>
      <c r="F25" s="55"/>
      <c r="G25" s="55"/>
      <c r="H25" s="55"/>
      <c r="I25" s="55"/>
      <c r="J25"/>
      <c r="K25"/>
      <c r="L25"/>
    </row>
    <row r="26" spans="2:12" x14ac:dyDescent="0.25">
      <c r="B26" s="61"/>
      <c r="C26" s="55"/>
      <c r="D26" s="55"/>
      <c r="E26" s="56" t="e">
        <f>VLOOKUP(D26,'DATA SHEET'!$B$3:$C$7,2,FALSE)</f>
        <v>#N/A</v>
      </c>
      <c r="F26" s="55"/>
      <c r="G26" s="55"/>
      <c r="H26" s="55"/>
      <c r="I26" s="55"/>
      <c r="J26"/>
      <c r="K26"/>
      <c r="L26"/>
    </row>
    <row r="27" spans="2:12" x14ac:dyDescent="0.25">
      <c r="B27" s="61"/>
      <c r="C27" s="55"/>
      <c r="D27" s="55"/>
      <c r="E27" s="56" t="e">
        <f>VLOOKUP(D27,'DATA SHEET'!$B$3:$C$7,2,FALSE)</f>
        <v>#N/A</v>
      </c>
      <c r="F27" s="55"/>
      <c r="G27" s="55"/>
      <c r="H27" s="55"/>
      <c r="I27" s="55"/>
      <c r="J27"/>
      <c r="K27"/>
      <c r="L27"/>
    </row>
    <row r="28" spans="2:12" x14ac:dyDescent="0.25">
      <c r="B28" s="61"/>
      <c r="C28" s="55"/>
      <c r="D28" s="55"/>
      <c r="E28" s="56" t="e">
        <f>VLOOKUP(D28,'DATA SHEET'!$B$3:$C$7,2,FALSE)</f>
        <v>#N/A</v>
      </c>
      <c r="F28" s="55"/>
      <c r="G28" s="55"/>
      <c r="H28" s="55"/>
      <c r="I28" s="55"/>
      <c r="J28"/>
      <c r="K28"/>
      <c r="L28"/>
    </row>
    <row r="29" spans="2:12" x14ac:dyDescent="0.25">
      <c r="B29" s="61"/>
      <c r="C29" s="55"/>
      <c r="D29" s="55"/>
      <c r="E29" s="56" t="e">
        <f>VLOOKUP(D29,'DATA SHEET'!$B$3:$C$7,2,FALSE)</f>
        <v>#N/A</v>
      </c>
      <c r="F29" s="55"/>
      <c r="G29" s="55"/>
      <c r="H29" s="55"/>
      <c r="I29" s="55"/>
      <c r="J29"/>
      <c r="K29"/>
      <c r="L29"/>
    </row>
    <row r="30" spans="2:12" x14ac:dyDescent="0.25">
      <c r="B30" s="61"/>
      <c r="C30" s="55"/>
      <c r="D30" s="55"/>
      <c r="E30" s="56" t="e">
        <f>VLOOKUP(D30,'DATA SHEET'!$B$3:$C$7,2,FALSE)</f>
        <v>#N/A</v>
      </c>
      <c r="F30" s="55"/>
      <c r="G30" s="55"/>
      <c r="H30" s="55"/>
      <c r="I30" s="55"/>
      <c r="J30"/>
      <c r="K30"/>
      <c r="L30"/>
    </row>
    <row r="31" spans="2:12" x14ac:dyDescent="0.25">
      <c r="B31" s="61"/>
      <c r="C31" s="55"/>
      <c r="D31" s="55"/>
      <c r="E31" s="56" t="e">
        <f>VLOOKUP(D31,'DATA SHEET'!$B$3:$C$7,2,FALSE)</f>
        <v>#N/A</v>
      </c>
      <c r="F31" s="55"/>
      <c r="G31" s="55"/>
      <c r="H31" s="55"/>
      <c r="I31" s="55"/>
      <c r="J31"/>
      <c r="K31"/>
      <c r="L31"/>
    </row>
    <row r="32" spans="2:12" x14ac:dyDescent="0.25">
      <c r="B32" s="61"/>
      <c r="C32" s="55"/>
      <c r="D32" s="55"/>
      <c r="E32" s="56" t="e">
        <f>VLOOKUP(D32,'DATA SHEET'!$B$3:$C$7,2,FALSE)</f>
        <v>#N/A</v>
      </c>
      <c r="F32" s="55"/>
      <c r="G32" s="55"/>
      <c r="H32" s="55"/>
      <c r="I32" s="55"/>
      <c r="J32"/>
      <c r="K32"/>
      <c r="L32"/>
    </row>
    <row r="33" spans="2:12" x14ac:dyDescent="0.25">
      <c r="B33" s="61"/>
      <c r="C33" s="55"/>
      <c r="D33" s="55"/>
      <c r="E33" s="56" t="e">
        <f>VLOOKUP(D33,'DATA SHEET'!$B$3:$C$7,2,FALSE)</f>
        <v>#N/A</v>
      </c>
      <c r="F33" s="55"/>
      <c r="G33" s="55"/>
      <c r="H33" s="55"/>
      <c r="I33" s="55"/>
      <c r="J33"/>
      <c r="K33"/>
      <c r="L33"/>
    </row>
    <row r="34" spans="2:12" x14ac:dyDescent="0.25">
      <c r="B34" s="61"/>
      <c r="C34" s="55"/>
      <c r="D34" s="55"/>
      <c r="E34" s="56" t="e">
        <f>VLOOKUP(D34,'DATA SHEET'!$B$3:$C$7,2,FALSE)</f>
        <v>#N/A</v>
      </c>
      <c r="F34" s="55"/>
      <c r="G34" s="55"/>
      <c r="H34" s="55"/>
      <c r="I34" s="55"/>
      <c r="J34"/>
      <c r="K34"/>
      <c r="L34"/>
    </row>
    <row r="35" spans="2:12" x14ac:dyDescent="0.25">
      <c r="B35" s="61"/>
      <c r="C35" s="55"/>
      <c r="D35" s="55"/>
      <c r="E35" s="56" t="e">
        <f>VLOOKUP(D35,'DATA SHEET'!$B$3:$C$7,2,FALSE)</f>
        <v>#N/A</v>
      </c>
      <c r="F35" s="55"/>
      <c r="G35" s="55"/>
      <c r="H35" s="55"/>
      <c r="I35" s="55"/>
      <c r="J35"/>
      <c r="K35"/>
      <c r="L35"/>
    </row>
    <row r="36" spans="2:12" x14ac:dyDescent="0.25">
      <c r="B36" s="61"/>
      <c r="C36" s="55"/>
      <c r="D36" s="55"/>
      <c r="E36" s="56" t="e">
        <f>VLOOKUP(D36,'DATA SHEET'!$B$3:$C$7,2,FALSE)</f>
        <v>#N/A</v>
      </c>
      <c r="F36" s="55"/>
      <c r="G36" s="55"/>
      <c r="H36" s="55"/>
      <c r="I36" s="55"/>
      <c r="J36"/>
      <c r="K36"/>
      <c r="L36"/>
    </row>
    <row r="37" spans="2:12" x14ac:dyDescent="0.25">
      <c r="B37" s="61"/>
      <c r="C37" s="55"/>
      <c r="D37" s="55"/>
      <c r="E37" s="56" t="e">
        <f>VLOOKUP(D37,'DATA SHEET'!$B$3:$C$7,2,FALSE)</f>
        <v>#N/A</v>
      </c>
      <c r="F37" s="55"/>
      <c r="G37" s="55"/>
      <c r="H37" s="55"/>
      <c r="I37" s="55"/>
      <c r="J37"/>
      <c r="K37"/>
      <c r="L37"/>
    </row>
    <row r="38" spans="2:12" x14ac:dyDescent="0.25">
      <c r="B38" s="61"/>
      <c r="C38" s="55"/>
      <c r="D38" s="55"/>
      <c r="E38" s="56" t="e">
        <f>VLOOKUP(D38,'DATA SHEET'!$B$3:$C$7,2,FALSE)</f>
        <v>#N/A</v>
      </c>
      <c r="F38" s="55"/>
      <c r="G38" s="55"/>
      <c r="H38" s="55"/>
      <c r="I38" s="55"/>
      <c r="J38"/>
      <c r="K38"/>
      <c r="L38"/>
    </row>
    <row r="39" spans="2:12" x14ac:dyDescent="0.25">
      <c r="B39" s="61"/>
      <c r="C39" s="55"/>
      <c r="D39" s="55"/>
      <c r="E39" s="56" t="e">
        <f>VLOOKUP(D39,'DATA SHEET'!$B$3:$C$7,2,FALSE)</f>
        <v>#N/A</v>
      </c>
      <c r="F39" s="55"/>
      <c r="G39" s="55"/>
      <c r="H39" s="55"/>
      <c r="I39" s="55"/>
      <c r="J39"/>
      <c r="K39"/>
      <c r="L39"/>
    </row>
    <row r="40" spans="2:12" x14ac:dyDescent="0.25">
      <c r="B40" s="61"/>
      <c r="C40" s="55"/>
      <c r="D40" s="55"/>
      <c r="E40" s="56" t="e">
        <f>VLOOKUP(D40,'DATA SHEET'!$B$3:$C$7,2,FALSE)</f>
        <v>#N/A</v>
      </c>
      <c r="F40" s="55"/>
      <c r="G40" s="55"/>
      <c r="H40" s="55"/>
      <c r="I40" s="55"/>
      <c r="J40"/>
      <c r="K40"/>
      <c r="L40"/>
    </row>
    <row r="41" spans="2:12" x14ac:dyDescent="0.25">
      <c r="B41" s="61"/>
      <c r="C41" s="55"/>
      <c r="D41" s="55"/>
      <c r="E41" s="56" t="e">
        <f>VLOOKUP(D41,'DATA SHEET'!$B$3:$C$7,2,FALSE)</f>
        <v>#N/A</v>
      </c>
      <c r="F41" s="55"/>
      <c r="G41" s="55"/>
      <c r="H41" s="55"/>
      <c r="I41" s="55"/>
      <c r="J41"/>
      <c r="K41"/>
      <c r="L41"/>
    </row>
    <row r="42" spans="2:12" x14ac:dyDescent="0.25">
      <c r="B42" s="45"/>
      <c r="C42" s="45"/>
      <c r="D42" s="48"/>
      <c r="E42" s="48"/>
      <c r="F42" s="48"/>
      <c r="G42" s="45"/>
      <c r="H42" s="45"/>
      <c r="I42" s="45"/>
      <c r="J42"/>
      <c r="K42"/>
      <c r="L42"/>
    </row>
    <row r="43" spans="2:12" x14ac:dyDescent="0.25">
      <c r="D43" s="48"/>
      <c r="E43" s="48"/>
      <c r="F43" s="48"/>
      <c r="G43" s="45"/>
      <c r="H43" s="45"/>
      <c r="I43" s="45"/>
    </row>
    <row r="44" spans="2:12" x14ac:dyDescent="0.25">
      <c r="B44" s="45"/>
      <c r="C44" s="45"/>
      <c r="D44" s="48"/>
      <c r="E44" s="48"/>
      <c r="F44" s="48"/>
      <c r="G44" s="45"/>
      <c r="H44" s="45"/>
      <c r="I44" s="45"/>
    </row>
    <row r="45" spans="2:12" x14ac:dyDescent="0.25">
      <c r="D45" s="48"/>
      <c r="E45" s="48"/>
      <c r="F45" s="48"/>
      <c r="G45" s="45"/>
      <c r="H45" s="45"/>
      <c r="I45" s="45"/>
    </row>
    <row r="46" spans="2:12" x14ac:dyDescent="0.25">
      <c r="B46" s="45"/>
      <c r="C46" s="45"/>
      <c r="D46" s="48"/>
      <c r="E46" s="48"/>
      <c r="F46" s="48"/>
      <c r="G46" s="45"/>
      <c r="H46" s="45"/>
      <c r="I46" s="45"/>
    </row>
    <row r="47" spans="2:12" x14ac:dyDescent="0.25">
      <c r="B47" s="45"/>
      <c r="C47" s="45"/>
      <c r="D47" s="48"/>
      <c r="E47" s="48"/>
      <c r="F47" s="48"/>
      <c r="G47" s="45"/>
      <c r="H47" s="45"/>
      <c r="I47" s="45"/>
    </row>
    <row r="48" spans="2:12" x14ac:dyDescent="0.25">
      <c r="B48" s="45"/>
      <c r="C48" s="45"/>
      <c r="D48" s="48"/>
      <c r="E48" s="48"/>
      <c r="F48" s="48"/>
      <c r="G48" s="45"/>
      <c r="H48" s="45"/>
      <c r="I48" s="45"/>
    </row>
    <row r="49" spans="2:9" x14ac:dyDescent="0.25">
      <c r="D49" s="48"/>
      <c r="E49" s="48"/>
      <c r="F49" s="48"/>
      <c r="G49" s="45"/>
      <c r="H49" s="45"/>
      <c r="I49" s="45"/>
    </row>
    <row r="50" spans="2:9" x14ac:dyDescent="0.25">
      <c r="B50" s="45"/>
      <c r="C50" s="45"/>
      <c r="D50" s="48"/>
      <c r="E50" s="48"/>
      <c r="F50" s="48"/>
      <c r="G50" s="45"/>
      <c r="H50" s="45"/>
      <c r="I50" s="45"/>
    </row>
    <row r="51" spans="2:9" x14ac:dyDescent="0.25">
      <c r="B51" s="45"/>
      <c r="C51" s="45"/>
      <c r="D51" s="48"/>
      <c r="E51" s="48"/>
      <c r="F51" s="48"/>
      <c r="G51" s="45"/>
      <c r="H51" s="45"/>
      <c r="I51" s="45"/>
    </row>
    <row r="52" spans="2:9" x14ac:dyDescent="0.25">
      <c r="B52" s="45"/>
      <c r="C52" s="45"/>
      <c r="D52" s="49"/>
      <c r="E52" s="49"/>
      <c r="F52" s="50"/>
      <c r="G52" s="45"/>
      <c r="H52" s="45"/>
      <c r="I52" s="45"/>
    </row>
    <row r="53" spans="2:9" x14ac:dyDescent="0.25">
      <c r="D53" s="49"/>
      <c r="E53" s="49"/>
      <c r="F53" s="50"/>
      <c r="G53" s="45"/>
      <c r="H53" s="45"/>
      <c r="I53" s="45"/>
    </row>
    <row r="54" spans="2:9" x14ac:dyDescent="0.25">
      <c r="B54" s="45"/>
      <c r="C54" s="45"/>
      <c r="D54" s="49"/>
      <c r="E54" s="49"/>
      <c r="F54" s="50"/>
      <c r="G54" s="45"/>
      <c r="H54" s="45"/>
      <c r="I54" s="45"/>
    </row>
    <row r="55" spans="2:9" x14ac:dyDescent="0.25">
      <c r="B55" s="45"/>
      <c r="C55" s="45"/>
      <c r="D55" s="49"/>
      <c r="E55" s="49"/>
      <c r="F55" s="50"/>
      <c r="G55" s="45"/>
      <c r="H55" s="45"/>
      <c r="I55" s="45"/>
    </row>
    <row r="56" spans="2:9" x14ac:dyDescent="0.25">
      <c r="B56" s="45"/>
      <c r="C56" s="45"/>
      <c r="D56" s="49"/>
      <c r="E56" s="49"/>
      <c r="F56" s="50"/>
      <c r="G56" s="45"/>
      <c r="H56" s="45"/>
      <c r="I56" s="45"/>
    </row>
    <row r="57" spans="2:9" x14ac:dyDescent="0.25">
      <c r="D57" s="49"/>
      <c r="E57" s="49"/>
      <c r="F57" s="50"/>
      <c r="G57" s="45"/>
      <c r="H57" s="45"/>
      <c r="I57" s="45"/>
    </row>
    <row r="58" spans="2:9" x14ac:dyDescent="0.25">
      <c r="B58" s="45"/>
      <c r="C58" s="45"/>
      <c r="D58" s="49"/>
      <c r="E58" s="49"/>
      <c r="F58" s="50"/>
      <c r="G58" s="45"/>
      <c r="H58" s="45"/>
      <c r="I58" s="45"/>
    </row>
  </sheetData>
  <conditionalFormatting sqref="I1 I42:I1048576">
    <cfRule type="beginsWith" dxfId="24" priority="1" operator="beginsWith" text="N">
      <formula>LEFT(I1,LEN("N"))="N"</formula>
    </cfRule>
    <cfRule type="beginsWith" dxfId="23" priority="2" operator="beginsWith" text="Y">
      <formula>LEFT(I1,LEN("Y"))="Y"</formula>
    </cfRule>
  </conditionalFormatting>
  <dataValidations count="1">
    <dataValidation type="list" allowBlank="1" showInputMessage="1" showErrorMessage="1" sqref="H2:H41" xr:uid="{A6D48C88-54D3-4BC8-A3A8-DB3D7313798D}">
      <formula1>"H,M,L"</formula1>
    </dataValidation>
  </dataValidations>
  <pageMargins left="0.25" right="0.25" top="0.25" bottom="0.2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C85365-51F2-412E-8757-59E75433A243}">
          <x14:formula1>
            <xm:f>'DATA SHEET'!$A$3:$A$11</xm:f>
          </x14:formula1>
          <xm:sqref>C2:C41</xm:sqref>
        </x14:dataValidation>
        <x14:dataValidation type="list" allowBlank="1" showInputMessage="1" showErrorMessage="1" xr:uid="{B741B772-F766-4E24-B9EC-2B5AFC870FCA}">
          <x14:formula1>
            <xm:f>'DATA SHEET'!$B$3:$B$7</xm:f>
          </x14:formula1>
          <xm:sqref>D2:D41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521A3-EA2F-4640-B439-916C4BEC9591}">
  <sheetPr codeName="Sheet3"/>
  <dimension ref="A1:P31"/>
  <sheetViews>
    <sheetView topLeftCell="B1" zoomScale="90" zoomScaleNormal="90" workbookViewId="0">
      <pane ySplit="1" topLeftCell="A2" activePane="bottomLeft" state="frozen"/>
      <selection activeCell="A27" sqref="A27"/>
      <selection pane="bottomLeft" activeCell="N6" sqref="N6"/>
    </sheetView>
  </sheetViews>
  <sheetFormatPr defaultRowHeight="15" x14ac:dyDescent="0.25"/>
  <cols>
    <col min="1" max="1" width="76.85546875" style="8" customWidth="1"/>
    <col min="2" max="2" width="5.42578125" style="9" customWidth="1"/>
    <col min="3" max="3" width="7" style="9" customWidth="1"/>
    <col min="4" max="4" width="22" style="8" customWidth="1"/>
    <col min="5" max="5" width="7.7109375" style="8" customWidth="1"/>
    <col min="6" max="6" width="5.5703125" style="8" customWidth="1"/>
    <col min="7" max="7" width="9.140625" style="4"/>
    <col min="8" max="8" width="12.140625" style="4" customWidth="1"/>
    <col min="9" max="9" width="10.28515625" style="5" customWidth="1"/>
    <col min="10" max="10" width="8.140625" customWidth="1"/>
    <col min="11" max="11" width="9.42578125" customWidth="1"/>
    <col min="12" max="12" width="11.140625" customWidth="1"/>
    <col min="13" max="13" width="33" customWidth="1"/>
    <col min="14" max="14" width="18.85546875" customWidth="1"/>
  </cols>
  <sheetData>
    <row r="1" spans="1:15" ht="15" customHeight="1" thickBot="1" x14ac:dyDescent="0.3">
      <c r="A1" s="51" t="s">
        <v>46</v>
      </c>
      <c r="B1" s="52" t="s">
        <v>1</v>
      </c>
      <c r="C1" s="52" t="s">
        <v>20</v>
      </c>
      <c r="D1" s="53" t="s">
        <v>22</v>
      </c>
      <c r="E1" s="52" t="s">
        <v>23</v>
      </c>
      <c r="F1" s="54" t="s">
        <v>47</v>
      </c>
      <c r="H1" s="27" t="s">
        <v>48</v>
      </c>
    </row>
    <row r="2" spans="1:15" ht="15.75" thickBot="1" x14ac:dyDescent="0.3">
      <c r="A2" s="135" t="s">
        <v>49</v>
      </c>
      <c r="B2" s="136"/>
      <c r="C2" s="136"/>
      <c r="D2" s="136"/>
      <c r="E2" s="136"/>
      <c r="F2" s="137"/>
      <c r="H2" s="40" t="s">
        <v>50</v>
      </c>
      <c r="I2" s="41" t="s">
        <v>51</v>
      </c>
      <c r="J2" s="41" t="s">
        <v>52</v>
      </c>
      <c r="K2" s="41" t="s">
        <v>53</v>
      </c>
      <c r="L2" s="41" t="s">
        <v>54</v>
      </c>
      <c r="M2" s="42" t="s">
        <v>55</v>
      </c>
      <c r="N2" s="132" t="s">
        <v>56</v>
      </c>
      <c r="O2" s="133"/>
    </row>
    <row r="3" spans="1:15" x14ac:dyDescent="0.25">
      <c r="A3" s="57" t="s">
        <v>57</v>
      </c>
      <c r="B3" s="59" t="s">
        <v>8</v>
      </c>
      <c r="C3" s="58">
        <f>+VLOOKUP(B3,'DATA SHEET'!$B$3:$C$7,2,FALSE)</f>
        <v>3</v>
      </c>
      <c r="D3" s="59"/>
      <c r="E3" s="59" t="s">
        <v>16</v>
      </c>
      <c r="F3" s="60" t="s">
        <v>58</v>
      </c>
      <c r="H3" s="33" t="s">
        <v>59</v>
      </c>
      <c r="I3" s="43"/>
      <c r="J3" s="65">
        <f t="shared" ref="J3:J10" si="0">SUMIF(D:D,"*"&amp;H3&amp;"*",C:C)</f>
        <v>21</v>
      </c>
      <c r="K3" s="44">
        <f>SUMIFS(C:C,D:D,"*"&amp;H3&amp;"*",F:F,"Y")</f>
        <v>21</v>
      </c>
      <c r="L3" s="44">
        <f t="shared" ref="L3:L10" si="1">SUMIFS(C:C,D:D,"*"&amp;H3&amp;"*",F:F,"N")</f>
        <v>0</v>
      </c>
      <c r="M3" s="108"/>
      <c r="N3" s="33" t="s">
        <v>60</v>
      </c>
      <c r="O3" s="110">
        <f>SUM(K3:K15)</f>
        <v>134</v>
      </c>
    </row>
    <row r="4" spans="1:15" x14ac:dyDescent="0.25">
      <c r="A4" s="21" t="s">
        <v>61</v>
      </c>
      <c r="B4" s="6" t="s">
        <v>8</v>
      </c>
      <c r="C4" s="58">
        <f>+VLOOKUP(B4,'DATA SHEET'!$B$3:$C$7,2,FALSE)</f>
        <v>3</v>
      </c>
      <c r="D4" s="6" t="s">
        <v>30</v>
      </c>
      <c r="E4" s="6" t="s">
        <v>16</v>
      </c>
      <c r="F4" s="20" t="s">
        <v>58</v>
      </c>
      <c r="H4" s="13" t="s">
        <v>62</v>
      </c>
      <c r="I4" s="11"/>
      <c r="J4" s="66">
        <f t="shared" si="0"/>
        <v>19</v>
      </c>
      <c r="K4" s="12">
        <f t="shared" ref="K4:K10" si="2">SUMIFS(C:C,D:D,"*"&amp;H4&amp;"*",F:F,"Y")</f>
        <v>17</v>
      </c>
      <c r="L4" s="12">
        <f t="shared" si="1"/>
        <v>2</v>
      </c>
      <c r="M4" s="109"/>
      <c r="N4" s="32" t="s">
        <v>63</v>
      </c>
      <c r="O4" s="111">
        <f>SUM(L3:L15)</f>
        <v>24</v>
      </c>
    </row>
    <row r="5" spans="1:15" x14ac:dyDescent="0.25">
      <c r="A5" s="21" t="s">
        <v>64</v>
      </c>
      <c r="B5" s="6" t="s">
        <v>10</v>
      </c>
      <c r="C5" s="58">
        <f>+VLOOKUP(B5,'DATA SHEET'!$B$3:$C$7,2,FALSE)</f>
        <v>5</v>
      </c>
      <c r="D5" s="6" t="s">
        <v>65</v>
      </c>
      <c r="E5" s="6" t="s">
        <v>16</v>
      </c>
      <c r="F5" s="20" t="s">
        <v>58</v>
      </c>
      <c r="H5" s="13" t="s">
        <v>66</v>
      </c>
      <c r="I5" s="11"/>
      <c r="J5" s="66">
        <f t="shared" si="0"/>
        <v>13</v>
      </c>
      <c r="K5" s="12">
        <f t="shared" si="2"/>
        <v>8</v>
      </c>
      <c r="L5" s="12">
        <f t="shared" si="1"/>
        <v>5</v>
      </c>
      <c r="M5" s="109"/>
      <c r="N5" s="112" t="s">
        <v>67</v>
      </c>
      <c r="O5" s="113" t="e">
        <f ca="1">K11/J11</f>
        <v>#N/A</v>
      </c>
    </row>
    <row r="6" spans="1:15" ht="15.75" thickBot="1" x14ac:dyDescent="0.3">
      <c r="A6" s="21" t="s">
        <v>68</v>
      </c>
      <c r="B6" s="6" t="s">
        <v>6</v>
      </c>
      <c r="C6" s="58">
        <f>+VLOOKUP(B6,'DATA SHEET'!$B$3:$C$7,2,FALSE)</f>
        <v>2</v>
      </c>
      <c r="D6" s="6" t="s">
        <v>30</v>
      </c>
      <c r="E6" s="6" t="s">
        <v>8</v>
      </c>
      <c r="F6" s="20" t="s">
        <v>58</v>
      </c>
      <c r="H6" s="13" t="s">
        <v>69</v>
      </c>
      <c r="I6" s="11"/>
      <c r="J6" s="66">
        <f t="shared" si="0"/>
        <v>13</v>
      </c>
      <c r="K6" s="12">
        <f t="shared" si="2"/>
        <v>8</v>
      </c>
      <c r="L6" s="12">
        <f t="shared" si="1"/>
        <v>5</v>
      </c>
      <c r="M6" s="109"/>
      <c r="N6" s="15" t="s">
        <v>154</v>
      </c>
      <c r="O6" s="18"/>
    </row>
    <row r="7" spans="1:15" x14ac:dyDescent="0.25">
      <c r="A7" s="21" t="s">
        <v>70</v>
      </c>
      <c r="B7" s="6" t="s">
        <v>10</v>
      </c>
      <c r="C7" s="58">
        <f>+VLOOKUP(B7,'DATA SHEET'!$B$3:$C$7,2,FALSE)</f>
        <v>5</v>
      </c>
      <c r="D7" s="6" t="s">
        <v>26</v>
      </c>
      <c r="E7" s="6" t="s">
        <v>8</v>
      </c>
      <c r="F7" s="20" t="s">
        <v>58</v>
      </c>
      <c r="H7" s="13" t="s">
        <v>71</v>
      </c>
      <c r="I7" s="11"/>
      <c r="J7" s="66">
        <f t="shared" si="0"/>
        <v>5</v>
      </c>
      <c r="K7" s="12">
        <f t="shared" si="2"/>
        <v>5</v>
      </c>
      <c r="L7" s="12">
        <f t="shared" si="1"/>
        <v>0</v>
      </c>
      <c r="M7" s="14"/>
    </row>
    <row r="8" spans="1:15" x14ac:dyDescent="0.25">
      <c r="A8" s="21" t="s">
        <v>72</v>
      </c>
      <c r="B8" s="6" t="s">
        <v>6</v>
      </c>
      <c r="C8" s="58">
        <f>+VLOOKUP(B8,'DATA SHEET'!$B$3:$C$7,2,FALSE)</f>
        <v>2</v>
      </c>
      <c r="D8" s="6" t="s">
        <v>27</v>
      </c>
      <c r="E8" s="6" t="s">
        <v>16</v>
      </c>
      <c r="F8" s="20" t="s">
        <v>58</v>
      </c>
      <c r="H8" s="13" t="s">
        <v>73</v>
      </c>
      <c r="I8" s="11"/>
      <c r="J8" s="66">
        <f t="shared" si="0"/>
        <v>2</v>
      </c>
      <c r="K8" s="12">
        <f t="shared" si="2"/>
        <v>2</v>
      </c>
      <c r="L8" s="12">
        <f t="shared" si="1"/>
        <v>0</v>
      </c>
      <c r="M8" s="14"/>
    </row>
    <row r="9" spans="1:15" x14ac:dyDescent="0.25">
      <c r="A9" s="21" t="s">
        <v>74</v>
      </c>
      <c r="B9" s="6" t="s">
        <v>8</v>
      </c>
      <c r="C9" s="58">
        <f>+VLOOKUP(B9,'DATA SHEET'!$B$3:$C$7,2,FALSE)</f>
        <v>3</v>
      </c>
      <c r="D9" s="6" t="s">
        <v>34</v>
      </c>
      <c r="E9" s="6" t="s">
        <v>8</v>
      </c>
      <c r="F9" s="20" t="s">
        <v>75</v>
      </c>
      <c r="H9" s="68" t="s">
        <v>76</v>
      </c>
      <c r="I9" s="69"/>
      <c r="J9" s="70">
        <f t="shared" si="0"/>
        <v>3</v>
      </c>
      <c r="K9" s="71">
        <f t="shared" si="2"/>
        <v>3</v>
      </c>
      <c r="L9" s="71">
        <f t="shared" si="1"/>
        <v>0</v>
      </c>
      <c r="M9" s="72"/>
    </row>
    <row r="10" spans="1:15" ht="15.75" thickBot="1" x14ac:dyDescent="0.3">
      <c r="A10" s="21" t="s">
        <v>77</v>
      </c>
      <c r="B10" s="6" t="s">
        <v>8</v>
      </c>
      <c r="C10" s="58">
        <f>+VLOOKUP(B10,'DATA SHEET'!$B$3:$C$7,2,FALSE)</f>
        <v>3</v>
      </c>
      <c r="D10" s="6" t="s">
        <v>78</v>
      </c>
      <c r="E10" s="6" t="s">
        <v>8</v>
      </c>
      <c r="F10" s="20" t="s">
        <v>75</v>
      </c>
      <c r="H10" s="15" t="s">
        <v>79</v>
      </c>
      <c r="I10" s="16"/>
      <c r="J10" s="67">
        <f t="shared" si="0"/>
        <v>3</v>
      </c>
      <c r="K10" s="17">
        <f t="shared" si="2"/>
        <v>3</v>
      </c>
      <c r="L10" s="17">
        <f t="shared" si="1"/>
        <v>0</v>
      </c>
      <c r="M10" s="18"/>
    </row>
    <row r="11" spans="1:15" x14ac:dyDescent="0.25">
      <c r="A11" s="21" t="s">
        <v>80</v>
      </c>
      <c r="B11" s="6" t="s">
        <v>6</v>
      </c>
      <c r="C11" s="58">
        <f>+VLOOKUP(B11,'DATA SHEET'!$B$3:$C$7,2,FALSE)</f>
        <v>2</v>
      </c>
      <c r="D11" s="6" t="s">
        <v>34</v>
      </c>
      <c r="E11" s="6" t="s">
        <v>16</v>
      </c>
      <c r="F11" s="20" t="s">
        <v>75</v>
      </c>
      <c r="H11" s="37"/>
      <c r="I11" s="38"/>
      <c r="J11" s="29" t="e">
        <f ca="1">SUM(J3:J15)</f>
        <v>#N/A</v>
      </c>
      <c r="K11" s="30">
        <f>SUM(K3:K10)</f>
        <v>67</v>
      </c>
      <c r="L11" s="31">
        <f>SUM(L3:L10)</f>
        <v>12</v>
      </c>
      <c r="M11" s="39"/>
    </row>
    <row r="12" spans="1:15" x14ac:dyDescent="0.25">
      <c r="A12" s="21" t="s">
        <v>81</v>
      </c>
      <c r="B12" s="6" t="s">
        <v>8</v>
      </c>
      <c r="C12" s="58">
        <f>+VLOOKUP(B12,'DATA SHEET'!$B$3:$C$7,2,FALSE)</f>
        <v>3</v>
      </c>
      <c r="D12" s="6" t="s">
        <v>34</v>
      </c>
      <c r="E12" s="6" t="s">
        <v>16</v>
      </c>
      <c r="F12" s="20" t="s">
        <v>75</v>
      </c>
      <c r="H12" s="37"/>
      <c r="I12" s="38"/>
      <c r="J12" s="134" t="s">
        <v>82</v>
      </c>
      <c r="K12" s="134"/>
      <c r="L12" s="134"/>
      <c r="M12" s="39"/>
    </row>
    <row r="13" spans="1:15" x14ac:dyDescent="0.25">
      <c r="A13" s="21" t="s">
        <v>29</v>
      </c>
      <c r="B13" s="6" t="s">
        <v>6</v>
      </c>
      <c r="C13" s="58">
        <f>+VLOOKUP(B13,'DATA SHEET'!$B$3:$C$7,2,FALSE)</f>
        <v>2</v>
      </c>
      <c r="D13" s="10" t="s">
        <v>30</v>
      </c>
      <c r="E13" s="6" t="s">
        <v>16</v>
      </c>
      <c r="F13" s="20" t="s">
        <v>75</v>
      </c>
      <c r="H13" s="37"/>
      <c r="I13" s="38"/>
      <c r="J13" s="38"/>
      <c r="K13" s="38"/>
      <c r="L13" s="38"/>
      <c r="M13" s="39"/>
    </row>
    <row r="14" spans="1:15" x14ac:dyDescent="0.25">
      <c r="A14" s="19" t="s">
        <v>83</v>
      </c>
      <c r="B14" s="6" t="s">
        <v>10</v>
      </c>
      <c r="C14" s="58">
        <f>+VLOOKUP(B14,'DATA SHEET'!$B$3:$C$7,2,FALSE)</f>
        <v>5</v>
      </c>
      <c r="D14" s="10" t="s">
        <v>84</v>
      </c>
      <c r="E14" s="6" t="s">
        <v>16</v>
      </c>
      <c r="F14" s="20" t="s">
        <v>75</v>
      </c>
      <c r="H14" s="37"/>
      <c r="I14" s="38"/>
      <c r="J14" s="38"/>
      <c r="K14" s="38"/>
      <c r="L14" s="38"/>
      <c r="M14" s="39"/>
    </row>
    <row r="15" spans="1:15" x14ac:dyDescent="0.25">
      <c r="A15" s="22" t="s">
        <v>85</v>
      </c>
      <c r="B15" s="1" t="s">
        <v>6</v>
      </c>
      <c r="C15" s="58">
        <f>+VLOOKUP(B15,'DATA SHEET'!$B$3:$C$7,2,FALSE)</f>
        <v>2</v>
      </c>
      <c r="D15" s="1" t="s">
        <v>27</v>
      </c>
      <c r="E15" s="1" t="s">
        <v>16</v>
      </c>
      <c r="F15" s="20" t="s">
        <v>75</v>
      </c>
      <c r="H15" s="37"/>
      <c r="I15" s="38"/>
      <c r="J15" s="38"/>
      <c r="K15" s="38"/>
      <c r="L15" s="38"/>
      <c r="M15" s="39"/>
    </row>
    <row r="16" spans="1:15" x14ac:dyDescent="0.25">
      <c r="A16" s="21" t="s">
        <v>86</v>
      </c>
      <c r="B16" s="6" t="s">
        <v>8</v>
      </c>
      <c r="C16" s="58">
        <f>+VLOOKUP(B16,'DATA SHEET'!$B$3:$C$7,2,FALSE)</f>
        <v>3</v>
      </c>
      <c r="D16" s="10" t="s">
        <v>34</v>
      </c>
      <c r="E16" s="6" t="s">
        <v>8</v>
      </c>
      <c r="F16" s="20" t="s">
        <v>75</v>
      </c>
      <c r="H16" s="28"/>
      <c r="I16" s="34"/>
      <c r="M16" s="35"/>
    </row>
    <row r="17" spans="1:16" x14ac:dyDescent="0.25">
      <c r="A17" s="21" t="s">
        <v>87</v>
      </c>
      <c r="B17" s="6" t="s">
        <v>6</v>
      </c>
      <c r="C17" s="58">
        <f>+VLOOKUP(B17,'DATA SHEET'!$B$3:$C$7,2,FALSE)</f>
        <v>2</v>
      </c>
      <c r="D17" s="10" t="s">
        <v>27</v>
      </c>
      <c r="E17" s="6" t="s">
        <v>8</v>
      </c>
      <c r="F17" s="20" t="s">
        <v>75</v>
      </c>
      <c r="J17" s="5"/>
      <c r="L17" s="5"/>
    </row>
    <row r="18" spans="1:16" x14ac:dyDescent="0.25">
      <c r="A18" s="21" t="s">
        <v>88</v>
      </c>
      <c r="B18" s="6" t="s">
        <v>8</v>
      </c>
      <c r="C18" s="58">
        <f>+VLOOKUP(B18,'DATA SHEET'!$B$3:$C$7,2,FALSE)</f>
        <v>3</v>
      </c>
      <c r="D18" s="10" t="s">
        <v>89</v>
      </c>
      <c r="E18" s="6" t="s">
        <v>16</v>
      </c>
      <c r="F18" s="20" t="s">
        <v>75</v>
      </c>
      <c r="J18" s="5"/>
      <c r="L18" s="5"/>
    </row>
    <row r="19" spans="1:16" x14ac:dyDescent="0.25">
      <c r="A19" s="21" t="s">
        <v>90</v>
      </c>
      <c r="B19" s="6" t="s">
        <v>6</v>
      </c>
      <c r="C19" s="58">
        <f>+VLOOKUP(B19,'DATA SHEET'!$B$3:$C$7,2,FALSE)</f>
        <v>2</v>
      </c>
      <c r="D19" s="10" t="s">
        <v>34</v>
      </c>
      <c r="E19" s="6" t="s">
        <v>8</v>
      </c>
      <c r="F19" s="20" t="s">
        <v>75</v>
      </c>
      <c r="J19" s="5"/>
      <c r="L19" s="5"/>
      <c r="P19" s="36"/>
    </row>
    <row r="20" spans="1:16" x14ac:dyDescent="0.25">
      <c r="A20" s="21" t="s">
        <v>91</v>
      </c>
      <c r="B20" s="6" t="s">
        <v>6</v>
      </c>
      <c r="C20" s="58">
        <f>+VLOOKUP(B20,'DATA SHEET'!$B$3:$C$7,2,FALSE)</f>
        <v>2</v>
      </c>
      <c r="D20" s="10" t="s">
        <v>33</v>
      </c>
      <c r="E20" s="6" t="s">
        <v>16</v>
      </c>
      <c r="F20" s="20" t="s">
        <v>75</v>
      </c>
    </row>
    <row r="21" spans="1:16" x14ac:dyDescent="0.25">
      <c r="A21" s="21" t="s">
        <v>92</v>
      </c>
      <c r="B21" s="6" t="s">
        <v>4</v>
      </c>
      <c r="C21" s="58">
        <f>+VLOOKUP(B21,'DATA SHEET'!$B$3:$C$7,2,FALSE)</f>
        <v>1</v>
      </c>
      <c r="D21" s="10" t="s">
        <v>30</v>
      </c>
      <c r="E21" s="6" t="s">
        <v>8</v>
      </c>
      <c r="F21" s="20" t="s">
        <v>75</v>
      </c>
    </row>
    <row r="22" spans="1:16" x14ac:dyDescent="0.25">
      <c r="A22" s="21" t="s">
        <v>93</v>
      </c>
      <c r="B22" s="6" t="s">
        <v>6</v>
      </c>
      <c r="C22" s="58">
        <f>+VLOOKUP(B22,'DATA SHEET'!$B$3:$C$7,2,FALSE)</f>
        <v>2</v>
      </c>
      <c r="D22" s="10" t="s">
        <v>28</v>
      </c>
      <c r="E22" s="6" t="s">
        <v>8</v>
      </c>
      <c r="F22" s="20" t="s">
        <v>75</v>
      </c>
    </row>
    <row r="23" spans="1:16" x14ac:dyDescent="0.25">
      <c r="A23" s="21" t="s">
        <v>94</v>
      </c>
      <c r="B23" s="6" t="s">
        <v>8</v>
      </c>
      <c r="C23" s="58">
        <f>+VLOOKUP(B23,'DATA SHEET'!$B$3:$C$7,2,FALSE)</f>
        <v>3</v>
      </c>
      <c r="D23" s="10" t="s">
        <v>95</v>
      </c>
      <c r="E23" s="6" t="s">
        <v>8</v>
      </c>
      <c r="F23" s="20" t="s">
        <v>75</v>
      </c>
    </row>
    <row r="24" spans="1:16" x14ac:dyDescent="0.25">
      <c r="A24" s="21" t="s">
        <v>31</v>
      </c>
      <c r="B24" s="6" t="s">
        <v>6</v>
      </c>
      <c r="C24" s="58">
        <f>+VLOOKUP(B24,'DATA SHEET'!$B$3:$C$7,2,FALSE)</f>
        <v>2</v>
      </c>
      <c r="D24" s="10" t="s">
        <v>30</v>
      </c>
      <c r="E24" s="6" t="s">
        <v>8</v>
      </c>
      <c r="F24" s="20" t="s">
        <v>75</v>
      </c>
    </row>
    <row r="25" spans="1:16" s="4" customFormat="1" x14ac:dyDescent="0.25">
      <c r="A25" s="21"/>
      <c r="B25" s="7"/>
      <c r="C25" s="58" t="e">
        <f>+VLOOKUP(B25,'DATA SHEET'!$B$3:$C$7,2,FALSE)</f>
        <v>#N/A</v>
      </c>
      <c r="D25" s="10"/>
      <c r="E25" s="6"/>
      <c r="F25" s="20" t="s">
        <v>58</v>
      </c>
      <c r="I25" s="5"/>
      <c r="J25"/>
      <c r="K25"/>
      <c r="L25"/>
      <c r="M25"/>
    </row>
    <row r="26" spans="1:16" x14ac:dyDescent="0.25">
      <c r="A26" s="21"/>
      <c r="B26" s="7"/>
      <c r="C26" s="58" t="e">
        <f>+VLOOKUP(B26,'DATA SHEET'!$B$3:$C$7,2,FALSE)</f>
        <v>#N/A</v>
      </c>
      <c r="D26" s="10"/>
      <c r="E26" s="6"/>
      <c r="F26" s="20" t="s">
        <v>58</v>
      </c>
    </row>
    <row r="27" spans="1:16" x14ac:dyDescent="0.25">
      <c r="A27" s="21"/>
      <c r="B27" s="7"/>
      <c r="C27" s="58" t="e">
        <f>+VLOOKUP(B27,'DATA SHEET'!$B$3:$C$7,2,FALSE)</f>
        <v>#N/A</v>
      </c>
      <c r="D27" s="10"/>
      <c r="E27" s="6"/>
      <c r="F27" s="20" t="s">
        <v>58</v>
      </c>
      <c r="H27" s="2"/>
      <c r="I27" s="3"/>
      <c r="J27" s="2"/>
    </row>
    <row r="28" spans="1:16" x14ac:dyDescent="0.25">
      <c r="A28" s="21"/>
      <c r="B28" s="7"/>
      <c r="C28" s="58" t="e">
        <f>+VLOOKUP(B28,'DATA SHEET'!$B$3:$C$7,2,FALSE)</f>
        <v>#N/A</v>
      </c>
      <c r="D28" s="10"/>
      <c r="E28" s="6"/>
      <c r="F28" s="20" t="s">
        <v>58</v>
      </c>
      <c r="J28" s="4"/>
      <c r="K28" s="4"/>
      <c r="L28" s="4"/>
      <c r="M28" s="4"/>
    </row>
    <row r="29" spans="1:16" x14ac:dyDescent="0.25">
      <c r="A29" s="21"/>
      <c r="B29" s="7"/>
      <c r="C29" s="58" t="e">
        <f>+VLOOKUP(B29,'DATA SHEET'!$B$3:$C$7,2,FALSE)</f>
        <v>#N/A</v>
      </c>
      <c r="D29" s="10"/>
      <c r="E29" s="6"/>
      <c r="F29" s="20" t="s">
        <v>58</v>
      </c>
    </row>
    <row r="30" spans="1:16" x14ac:dyDescent="0.25">
      <c r="A30" s="21"/>
      <c r="B30" s="7"/>
      <c r="C30" s="58" t="e">
        <f>+VLOOKUP(B30,'DATA SHEET'!$B$3:$C$7,2,FALSE)</f>
        <v>#N/A</v>
      </c>
      <c r="D30" s="10"/>
      <c r="E30" s="6"/>
      <c r="F30" s="20" t="s">
        <v>58</v>
      </c>
    </row>
    <row r="31" spans="1:16" ht="15.75" thickBot="1" x14ac:dyDescent="0.3">
      <c r="A31" s="23"/>
      <c r="B31" s="24"/>
      <c r="C31" s="58" t="e">
        <f>+VLOOKUP(B31,'DATA SHEET'!$B$3:$C$7,2,FALSE)</f>
        <v>#N/A</v>
      </c>
      <c r="D31" s="25"/>
      <c r="E31" s="26"/>
      <c r="F31" s="20" t="s">
        <v>58</v>
      </c>
    </row>
  </sheetData>
  <autoFilter ref="D1:D32" xr:uid="{0D0CC8B2-3370-4ADF-9E19-3A425731900B}"/>
  <mergeCells count="3">
    <mergeCell ref="N2:O2"/>
    <mergeCell ref="J12:L12"/>
    <mergeCell ref="A2:F2"/>
  </mergeCells>
  <conditionalFormatting sqref="F33:F1048576 F1 F3:F31">
    <cfRule type="beginsWith" dxfId="22" priority="3" operator="beginsWith" text="N">
      <formula>LEFT(F1,LEN("N"))="N"</formula>
    </cfRule>
    <cfRule type="beginsWith" dxfId="21" priority="4" operator="beginsWith" text="Y">
      <formula>LEFT(F1,LEN("Y"))="Y"</formula>
    </cfRule>
  </conditionalFormatting>
  <conditionalFormatting sqref="H1">
    <cfRule type="beginsWith" dxfId="20" priority="1" operator="beginsWith" text="N">
      <formula>LEFT(H1,LEN("N"))="N"</formula>
    </cfRule>
    <cfRule type="beginsWith" dxfId="19" priority="2" operator="beginsWith" text="Y">
      <formula>LEFT(H1,LEN("Y"))="Y"</formula>
    </cfRule>
  </conditionalFormatting>
  <dataValidations count="1">
    <dataValidation type="list" allowBlank="1" showInputMessage="1" showErrorMessage="1" sqref="F3:F31" xr:uid="{BDEA7BE3-6200-4CE7-9B9D-9F32337D6CD6}">
      <formula1>"Y,N"</formula1>
    </dataValidation>
  </dataValidations>
  <pageMargins left="0.25" right="0.25" top="0.25" bottom="0.2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D63D97-B373-4AA6-8F6A-7BFB22DA6A2C}">
          <x14:formula1>
            <xm:f>'DATA SHEET'!$B$3:$B$7</xm:f>
          </x14:formula1>
          <xm:sqref>B25:B31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94B10-3192-4E63-9296-B6F1F8AC8A39}">
  <sheetPr codeName="Sheet4"/>
  <dimension ref="A1:T26"/>
  <sheetViews>
    <sheetView zoomScale="90" zoomScaleNormal="90" workbookViewId="0">
      <pane ySplit="1" topLeftCell="A2" activePane="bottomLeft" state="frozen"/>
      <selection activeCell="A27" sqref="A27"/>
      <selection pane="bottomLeft" activeCell="J15" sqref="J15"/>
    </sheetView>
  </sheetViews>
  <sheetFormatPr defaultRowHeight="15" x14ac:dyDescent="0.25"/>
  <cols>
    <col min="1" max="1" width="76.85546875" style="8" customWidth="1"/>
    <col min="2" max="2" width="6.42578125" style="90" customWidth="1"/>
    <col min="3" max="3" width="8.42578125" style="90" customWidth="1"/>
    <col min="4" max="4" width="22" style="90" customWidth="1"/>
    <col min="5" max="5" width="6.5703125" style="90" customWidth="1"/>
    <col min="6" max="6" width="6.42578125" style="90" customWidth="1"/>
    <col min="7" max="8" width="7.7109375" style="90" customWidth="1"/>
    <col min="9" max="9" width="9.140625" style="4"/>
    <col min="10" max="10" width="12.140625" style="4" customWidth="1"/>
    <col min="11" max="12" width="10.28515625" style="5" customWidth="1"/>
    <col min="13" max="13" width="11.7109375" style="5" bestFit="1" customWidth="1"/>
    <col min="14" max="14" width="8.140625" customWidth="1"/>
    <col min="15" max="15" width="9.42578125" customWidth="1"/>
    <col min="16" max="16" width="11.140625" customWidth="1"/>
    <col min="17" max="17" width="13.5703125" bestFit="1" customWidth="1"/>
    <col min="18" max="18" width="33" customWidth="1"/>
    <col min="19" max="19" width="18.85546875" customWidth="1"/>
  </cols>
  <sheetData>
    <row r="1" spans="1:20" ht="34.5" customHeight="1" thickBot="1" x14ac:dyDescent="0.3">
      <c r="A1" s="84" t="s">
        <v>46</v>
      </c>
      <c r="B1" s="85" t="s">
        <v>1</v>
      </c>
      <c r="C1" s="85" t="s">
        <v>20</v>
      </c>
      <c r="D1" s="91" t="s">
        <v>22</v>
      </c>
      <c r="E1" s="85" t="s">
        <v>23</v>
      </c>
      <c r="F1" s="91" t="s">
        <v>96</v>
      </c>
      <c r="G1" s="91" t="s">
        <v>47</v>
      </c>
      <c r="H1" s="107" t="s">
        <v>155</v>
      </c>
      <c r="J1" s="27" t="s">
        <v>48</v>
      </c>
    </row>
    <row r="2" spans="1:20" ht="15.75" thickBot="1" x14ac:dyDescent="0.3">
      <c r="A2" s="57"/>
      <c r="B2" s="86"/>
      <c r="C2" s="86" t="e">
        <f>+VLOOKUP(B2,'DATA SHEET'!$B$3:$C$7,2,FALSE)</f>
        <v>#N/A</v>
      </c>
      <c r="D2" s="102"/>
      <c r="E2" s="86"/>
      <c r="F2" s="103" t="e">
        <f>+VLOOKUP(E2,'DATA SHEET'!$B$10:$C$12,2,FALSE)</f>
        <v>#N/A</v>
      </c>
      <c r="G2" s="99"/>
      <c r="H2" s="106"/>
      <c r="J2" s="41" t="s">
        <v>50</v>
      </c>
      <c r="K2" s="41" t="s">
        <v>51</v>
      </c>
      <c r="L2" s="41" t="s">
        <v>156</v>
      </c>
      <c r="M2" s="41" t="s">
        <v>161</v>
      </c>
      <c r="N2" s="41" t="s">
        <v>52</v>
      </c>
      <c r="O2" s="41" t="s">
        <v>53</v>
      </c>
      <c r="P2" s="42" t="s">
        <v>54</v>
      </c>
      <c r="Q2" s="120" t="s">
        <v>162</v>
      </c>
      <c r="R2" s="114" t="s">
        <v>55</v>
      </c>
      <c r="S2" s="132" t="s">
        <v>56</v>
      </c>
      <c r="T2" s="133"/>
    </row>
    <row r="3" spans="1:20" x14ac:dyDescent="0.25">
      <c r="A3" s="21" t="s">
        <v>97</v>
      </c>
      <c r="B3" s="87" t="s">
        <v>10</v>
      </c>
      <c r="C3" s="86">
        <f>+VLOOKUP(B3,'DATA SHEET'!$B$3:$C$7,2,FALSE)</f>
        <v>5</v>
      </c>
      <c r="D3" s="87" t="s">
        <v>98</v>
      </c>
      <c r="E3" s="87" t="s">
        <v>16</v>
      </c>
      <c r="F3" s="92">
        <f>+VLOOKUP(E3,'DATA SHEET'!$B$10:$C$12,2,FALSE)</f>
        <v>3</v>
      </c>
      <c r="G3" s="100" t="s">
        <v>58</v>
      </c>
      <c r="H3" s="106"/>
      <c r="J3" s="33" t="s">
        <v>59</v>
      </c>
      <c r="K3" s="43"/>
      <c r="L3" s="122">
        <f>COUNTIF(D:D,"*"&amp;J3&amp;"*")</f>
        <v>6</v>
      </c>
      <c r="M3" s="11">
        <f>COUNTIFS(D:D,"*"&amp;J3&amp;"*",H:H,"Y")</f>
        <v>0</v>
      </c>
      <c r="N3" s="124">
        <f>SUMIF(D:D,"*"&amp;J3&amp;"*",C:C)</f>
        <v>18</v>
      </c>
      <c r="O3" s="44">
        <f>SUMIFS(C:C,D:D,"*"&amp;J3&amp;"*",G:G,"Y")</f>
        <v>0</v>
      </c>
      <c r="P3" s="44">
        <f>SUMIFS(C:C,D:D,"*"&amp;J3&amp;"*",G:G,"N")</f>
        <v>18</v>
      </c>
      <c r="Q3" s="130">
        <f>$O3/$N3</f>
        <v>0</v>
      </c>
      <c r="R3" s="128"/>
      <c r="S3" s="33" t="s">
        <v>60</v>
      </c>
      <c r="T3" s="110">
        <f>SUM(O3:O10)</f>
        <v>3</v>
      </c>
    </row>
    <row r="4" spans="1:20" x14ac:dyDescent="0.25">
      <c r="A4" s="21" t="s">
        <v>99</v>
      </c>
      <c r="B4" s="87" t="s">
        <v>10</v>
      </c>
      <c r="C4" s="86">
        <f>+VLOOKUP(B4,'DATA SHEET'!$B$3:$C$7,2,FALSE)</f>
        <v>5</v>
      </c>
      <c r="D4" s="87" t="s">
        <v>100</v>
      </c>
      <c r="E4" s="87" t="s">
        <v>16</v>
      </c>
      <c r="F4" s="92">
        <f>+VLOOKUP(E4,'DATA SHEET'!$B$10:$C$12,2,FALSE)</f>
        <v>3</v>
      </c>
      <c r="G4" s="100" t="s">
        <v>58</v>
      </c>
      <c r="H4" s="106"/>
      <c r="J4" s="13" t="s">
        <v>62</v>
      </c>
      <c r="K4" s="11"/>
      <c r="L4" s="73">
        <f t="shared" ref="L4:L10" si="0">COUNTIF(D:D,"*"&amp;J4&amp;"*")</f>
        <v>7</v>
      </c>
      <c r="M4" s="11">
        <f t="shared" ref="M4:M10" si="1">COUNTIFS(D:D,"*"&amp;J4&amp;"*",H:H,"Y")</f>
        <v>0</v>
      </c>
      <c r="N4" s="125">
        <f t="shared" ref="N4:N10" si="2">SUMIF(D:D,"*"&amp;J4&amp;"*",C:C)</f>
        <v>24</v>
      </c>
      <c r="O4" s="12">
        <f t="shared" ref="O4:O10" si="3">SUMIFS(C:C,D:D,"*"&amp;J4&amp;"*",G:G,"Y")</f>
        <v>0</v>
      </c>
      <c r="P4" s="12">
        <f t="shared" ref="P4:P10" si="4">SUMIFS(C:C,D:D,"*"&amp;J4&amp;"*",G:G,"N")</f>
        <v>24</v>
      </c>
      <c r="Q4" s="130">
        <f t="shared" ref="Q4:Q10" si="5">$O4/$N4</f>
        <v>0</v>
      </c>
      <c r="R4" s="74"/>
      <c r="S4" s="32" t="s">
        <v>63</v>
      </c>
      <c r="T4" s="111">
        <f>SUM(P3:P10)</f>
        <v>72</v>
      </c>
    </row>
    <row r="5" spans="1:20" x14ac:dyDescent="0.25">
      <c r="A5" s="21" t="s">
        <v>101</v>
      </c>
      <c r="B5" s="87" t="s">
        <v>10</v>
      </c>
      <c r="C5" s="86">
        <f>+VLOOKUP(B5,'DATA SHEET'!$B$3:$C$7,2,FALSE)</f>
        <v>5</v>
      </c>
      <c r="D5" s="96" t="s">
        <v>100</v>
      </c>
      <c r="E5" s="87" t="s">
        <v>16</v>
      </c>
      <c r="F5" s="92">
        <f>+VLOOKUP(E5,'DATA SHEET'!$B$10:$C$12,2,FALSE)</f>
        <v>3</v>
      </c>
      <c r="G5" s="100" t="s">
        <v>58</v>
      </c>
      <c r="H5" s="106"/>
      <c r="J5" s="13" t="s">
        <v>66</v>
      </c>
      <c r="K5" s="11"/>
      <c r="L5" s="73">
        <f t="shared" si="0"/>
        <v>4</v>
      </c>
      <c r="M5" s="11">
        <f t="shared" si="1"/>
        <v>0</v>
      </c>
      <c r="N5" s="125">
        <f t="shared" si="2"/>
        <v>12</v>
      </c>
      <c r="O5" s="12">
        <f t="shared" si="3"/>
        <v>3</v>
      </c>
      <c r="P5" s="12">
        <f t="shared" si="4"/>
        <v>9</v>
      </c>
      <c r="Q5" s="130">
        <f t="shared" si="5"/>
        <v>0.25</v>
      </c>
      <c r="R5" s="74"/>
      <c r="S5" s="112" t="s">
        <v>67</v>
      </c>
      <c r="T5" s="119">
        <f>O11/N11</f>
        <v>0.04</v>
      </c>
    </row>
    <row r="6" spans="1:20" ht="15.75" thickBot="1" x14ac:dyDescent="0.3">
      <c r="A6" s="22" t="s">
        <v>102</v>
      </c>
      <c r="B6" s="88" t="s">
        <v>10</v>
      </c>
      <c r="C6" s="86">
        <f>+VLOOKUP(B6,'DATA SHEET'!$B$3:$C$7,2,FALSE)</f>
        <v>5</v>
      </c>
      <c r="D6" s="88" t="s">
        <v>103</v>
      </c>
      <c r="E6" s="88" t="s">
        <v>16</v>
      </c>
      <c r="F6" s="94">
        <f>+VLOOKUP(E6,'DATA SHEET'!$B$10:$C$12,2,FALSE)</f>
        <v>3</v>
      </c>
      <c r="G6" s="99" t="s">
        <v>58</v>
      </c>
      <c r="H6" s="106"/>
      <c r="J6" s="13" t="s">
        <v>69</v>
      </c>
      <c r="K6" s="73"/>
      <c r="L6" s="73">
        <f t="shared" si="0"/>
        <v>2</v>
      </c>
      <c r="M6" s="11">
        <f t="shared" si="1"/>
        <v>0</v>
      </c>
      <c r="N6" s="125">
        <f t="shared" si="2"/>
        <v>8</v>
      </c>
      <c r="O6" s="12">
        <f t="shared" si="3"/>
        <v>0</v>
      </c>
      <c r="P6" s="12">
        <f t="shared" si="4"/>
        <v>8</v>
      </c>
      <c r="Q6" s="130">
        <f t="shared" si="5"/>
        <v>0</v>
      </c>
      <c r="R6" s="74"/>
      <c r="S6" s="15" t="s">
        <v>154</v>
      </c>
      <c r="T6" s="18"/>
    </row>
    <row r="7" spans="1:20" x14ac:dyDescent="0.25">
      <c r="A7" s="22" t="s">
        <v>104</v>
      </c>
      <c r="B7" s="88" t="s">
        <v>10</v>
      </c>
      <c r="C7" s="86">
        <f>+VLOOKUP(B7,'DATA SHEET'!$B$3:$C$7,2,FALSE)</f>
        <v>5</v>
      </c>
      <c r="D7" s="88" t="s">
        <v>105</v>
      </c>
      <c r="E7" s="88" t="s">
        <v>16</v>
      </c>
      <c r="F7" s="93">
        <f>+VLOOKUP(E7,'DATA SHEET'!$B$10:$C$12,2,FALSE)</f>
        <v>3</v>
      </c>
      <c r="G7" s="100" t="s">
        <v>58</v>
      </c>
      <c r="H7" s="106"/>
      <c r="J7" s="13" t="s">
        <v>71</v>
      </c>
      <c r="K7" s="69"/>
      <c r="L7" s="73">
        <f t="shared" si="0"/>
        <v>2</v>
      </c>
      <c r="M7" s="11">
        <f t="shared" si="1"/>
        <v>0</v>
      </c>
      <c r="N7" s="125">
        <f t="shared" si="2"/>
        <v>5</v>
      </c>
      <c r="O7" s="12">
        <f t="shared" si="3"/>
        <v>0</v>
      </c>
      <c r="P7" s="12">
        <f t="shared" si="4"/>
        <v>5</v>
      </c>
      <c r="Q7" s="130">
        <f t="shared" si="5"/>
        <v>0</v>
      </c>
      <c r="R7" s="129"/>
    </row>
    <row r="8" spans="1:20" x14ac:dyDescent="0.25">
      <c r="A8" s="21" t="s">
        <v>106</v>
      </c>
      <c r="B8" s="87" t="s">
        <v>10</v>
      </c>
      <c r="C8" s="86">
        <f>+VLOOKUP(B8,'DATA SHEET'!$B$3:$C$7,2,FALSE)</f>
        <v>5</v>
      </c>
      <c r="D8" s="87" t="s">
        <v>100</v>
      </c>
      <c r="E8" s="87" t="s">
        <v>8</v>
      </c>
      <c r="F8" s="92">
        <f>+VLOOKUP(E8,'DATA SHEET'!$B$10:$C$12,2,FALSE)</f>
        <v>2</v>
      </c>
      <c r="G8" s="100" t="s">
        <v>58</v>
      </c>
      <c r="H8" s="106"/>
      <c r="J8" s="13" t="s">
        <v>73</v>
      </c>
      <c r="K8" s="69"/>
      <c r="L8" s="73">
        <f t="shared" si="0"/>
        <v>0</v>
      </c>
      <c r="M8" s="11">
        <f t="shared" si="1"/>
        <v>0</v>
      </c>
      <c r="N8" s="125">
        <f t="shared" si="2"/>
        <v>0</v>
      </c>
      <c r="O8" s="12">
        <f t="shared" si="3"/>
        <v>0</v>
      </c>
      <c r="P8" s="12">
        <f t="shared" si="4"/>
        <v>0</v>
      </c>
      <c r="Q8" s="130" t="e">
        <f t="shared" si="5"/>
        <v>#DIV/0!</v>
      </c>
      <c r="R8" s="129"/>
    </row>
    <row r="9" spans="1:20" x14ac:dyDescent="0.25">
      <c r="A9" s="21" t="s">
        <v>64</v>
      </c>
      <c r="B9" s="87" t="s">
        <v>8</v>
      </c>
      <c r="C9" s="86">
        <f>+VLOOKUP(B9,'DATA SHEET'!$B$3:$C$7,2,FALSE)</f>
        <v>3</v>
      </c>
      <c r="D9" s="87" t="s">
        <v>98</v>
      </c>
      <c r="E9" s="87" t="s">
        <v>16</v>
      </c>
      <c r="F9" s="92">
        <f>+VLOOKUP(E9,'DATA SHEET'!$B$10:$C$12,2,FALSE)</f>
        <v>3</v>
      </c>
      <c r="G9" s="100" t="s">
        <v>75</v>
      </c>
      <c r="H9" s="106"/>
      <c r="J9" s="68" t="s">
        <v>76</v>
      </c>
      <c r="K9" s="69"/>
      <c r="L9" s="73">
        <f t="shared" si="0"/>
        <v>2</v>
      </c>
      <c r="M9" s="11">
        <f t="shared" si="1"/>
        <v>0</v>
      </c>
      <c r="N9" s="125">
        <f t="shared" si="2"/>
        <v>6</v>
      </c>
      <c r="O9" s="12">
        <f t="shared" si="3"/>
        <v>0</v>
      </c>
      <c r="P9" s="12">
        <f t="shared" si="4"/>
        <v>6</v>
      </c>
      <c r="Q9" s="130">
        <f t="shared" si="5"/>
        <v>0</v>
      </c>
      <c r="R9" s="129"/>
    </row>
    <row r="10" spans="1:20" ht="15.75" thickBot="1" x14ac:dyDescent="0.3">
      <c r="A10" s="21" t="s">
        <v>107</v>
      </c>
      <c r="B10" s="87" t="s">
        <v>8</v>
      </c>
      <c r="C10" s="86">
        <v>3</v>
      </c>
      <c r="D10" s="96" t="s">
        <v>108</v>
      </c>
      <c r="E10" s="87" t="s">
        <v>16</v>
      </c>
      <c r="F10" s="92">
        <f>+VLOOKUP(E10,'DATA SHEET'!$B$10:$C$12,2,FALSE)</f>
        <v>3</v>
      </c>
      <c r="G10" s="100" t="s">
        <v>58</v>
      </c>
      <c r="H10" s="106"/>
      <c r="J10" s="15" t="s">
        <v>79</v>
      </c>
      <c r="K10" s="16"/>
      <c r="L10" s="123">
        <f t="shared" si="0"/>
        <v>1</v>
      </c>
      <c r="M10" s="69">
        <f t="shared" si="1"/>
        <v>0</v>
      </c>
      <c r="N10" s="126">
        <f t="shared" si="2"/>
        <v>2</v>
      </c>
      <c r="O10" s="71">
        <f t="shared" si="3"/>
        <v>0</v>
      </c>
      <c r="P10" s="71">
        <f t="shared" si="4"/>
        <v>2</v>
      </c>
      <c r="Q10" s="130">
        <f t="shared" si="5"/>
        <v>0</v>
      </c>
      <c r="R10" s="18"/>
    </row>
    <row r="11" spans="1:20" ht="15.75" thickBot="1" x14ac:dyDescent="0.3">
      <c r="A11" s="10" t="s">
        <v>109</v>
      </c>
      <c r="B11" s="87" t="s">
        <v>8</v>
      </c>
      <c r="C11" s="86">
        <f>+VLOOKUP(B11,'DATA SHEET'!$B$3:$C$7,2,FALSE)</f>
        <v>3</v>
      </c>
      <c r="D11" s="87" t="s">
        <v>100</v>
      </c>
      <c r="E11" s="87" t="s">
        <v>8</v>
      </c>
      <c r="F11" s="92">
        <f>+VLOOKUP(E11,'DATA SHEET'!$B$10:$C$12,2,FALSE)</f>
        <v>2</v>
      </c>
      <c r="G11" s="100" t="s">
        <v>58</v>
      </c>
      <c r="H11" s="106"/>
      <c r="J11" s="37"/>
      <c r="K11" s="38"/>
      <c r="L11" s="117">
        <f>SUM(L3:L10)</f>
        <v>24</v>
      </c>
      <c r="M11" s="127">
        <f>SUM(M3:M10)</f>
        <v>0</v>
      </c>
      <c r="N11" s="118">
        <f>SUM(N3:N10)</f>
        <v>75</v>
      </c>
      <c r="O11" s="115">
        <f>SUM(O3:O10)</f>
        <v>3</v>
      </c>
      <c r="P11" s="116">
        <f>SUM(P3:P10)</f>
        <v>72</v>
      </c>
      <c r="Q11" s="121"/>
      <c r="R11" s="39"/>
    </row>
    <row r="12" spans="1:20" x14ac:dyDescent="0.25">
      <c r="A12" s="6" t="s">
        <v>110</v>
      </c>
      <c r="B12" s="87" t="s">
        <v>8</v>
      </c>
      <c r="C12" s="86">
        <f>+VLOOKUP(B12,'DATA SHEET'!$B$3:$C$7,2,FALSE)</f>
        <v>3</v>
      </c>
      <c r="D12" s="96" t="s">
        <v>108</v>
      </c>
      <c r="E12" s="87" t="s">
        <v>8</v>
      </c>
      <c r="F12" s="92">
        <f>+VLOOKUP(E12,'DATA SHEET'!$B$10:$C$12,2,FALSE)</f>
        <v>2</v>
      </c>
      <c r="G12" s="100" t="s">
        <v>58</v>
      </c>
      <c r="H12" s="106"/>
      <c r="J12" s="37"/>
      <c r="K12" s="38"/>
      <c r="L12" s="38"/>
      <c r="M12" s="38"/>
      <c r="N12" s="134" t="s">
        <v>82</v>
      </c>
      <c r="O12" s="134"/>
      <c r="P12" s="134"/>
      <c r="Q12" s="105"/>
      <c r="R12" s="39"/>
    </row>
    <row r="13" spans="1:20" x14ac:dyDescent="0.25">
      <c r="A13" s="10" t="s">
        <v>111</v>
      </c>
      <c r="B13" s="87" t="s">
        <v>8</v>
      </c>
      <c r="C13" s="86">
        <f>+VLOOKUP(B13,'DATA SHEET'!$B$3:$C$7,2,FALSE)</f>
        <v>3</v>
      </c>
      <c r="D13" s="87" t="s">
        <v>103</v>
      </c>
      <c r="E13" s="87" t="s">
        <v>8</v>
      </c>
      <c r="F13" s="92">
        <f>+VLOOKUP(E13,'DATA SHEET'!$B$10:$C$12,2,FALSE)</f>
        <v>2</v>
      </c>
      <c r="G13" s="100" t="s">
        <v>58</v>
      </c>
      <c r="H13" s="106"/>
      <c r="J13" s="37"/>
      <c r="K13" s="38"/>
      <c r="L13" s="38"/>
      <c r="M13" s="38"/>
      <c r="N13" s="38"/>
      <c r="O13" s="38"/>
      <c r="P13" s="38"/>
      <c r="Q13" s="38"/>
      <c r="R13" s="39"/>
    </row>
    <row r="14" spans="1:20" x14ac:dyDescent="0.25">
      <c r="A14" s="22" t="s">
        <v>112</v>
      </c>
      <c r="B14" s="87" t="s">
        <v>8</v>
      </c>
      <c r="C14" s="86">
        <f>+VLOOKUP(B14,'DATA SHEET'!$B$3:$C$7,2,FALSE)</f>
        <v>3</v>
      </c>
      <c r="D14" s="87" t="s">
        <v>103</v>
      </c>
      <c r="E14" s="87" t="s">
        <v>10</v>
      </c>
      <c r="F14" s="92">
        <f>+VLOOKUP(E14,'DATA SHEET'!$B$10:$C$12,2,FALSE)</f>
        <v>1</v>
      </c>
      <c r="G14" s="100" t="s">
        <v>58</v>
      </c>
      <c r="H14" s="106"/>
      <c r="J14" s="37"/>
      <c r="K14" s="38"/>
      <c r="L14" s="38"/>
      <c r="M14" s="38"/>
      <c r="N14" s="38"/>
      <c r="O14" s="38"/>
      <c r="P14" s="38"/>
      <c r="Q14" s="38"/>
      <c r="R14" s="39"/>
    </row>
    <row r="15" spans="1:20" x14ac:dyDescent="0.25">
      <c r="A15" s="21" t="s">
        <v>113</v>
      </c>
      <c r="B15" s="87" t="s">
        <v>8</v>
      </c>
      <c r="C15" s="86">
        <f>+VLOOKUP(B15,'DATA SHEET'!$B$3:$C$7,2,FALSE)</f>
        <v>3</v>
      </c>
      <c r="D15" s="96" t="s">
        <v>103</v>
      </c>
      <c r="E15" s="87" t="s">
        <v>10</v>
      </c>
      <c r="F15" s="104">
        <f>+VLOOKUP(E15,'DATA SHEET'!$B$10:$C$12,2,FALSE)</f>
        <v>1</v>
      </c>
      <c r="G15" s="100" t="s">
        <v>58</v>
      </c>
      <c r="H15" s="106"/>
      <c r="J15" s="37"/>
      <c r="K15" s="38"/>
      <c r="L15" s="38"/>
      <c r="M15" s="38"/>
      <c r="N15" s="38"/>
      <c r="O15" s="38"/>
      <c r="P15" s="38"/>
      <c r="Q15" s="38"/>
      <c r="R15" s="39"/>
    </row>
    <row r="16" spans="1:20" x14ac:dyDescent="0.25">
      <c r="A16" s="21" t="s">
        <v>114</v>
      </c>
      <c r="B16" s="87" t="s">
        <v>8</v>
      </c>
      <c r="C16" s="86">
        <f>+VLOOKUP(B16,'DATA SHEET'!$B$3:$C$7,2,FALSE)</f>
        <v>3</v>
      </c>
      <c r="D16" s="96" t="s">
        <v>32</v>
      </c>
      <c r="E16" s="87" t="s">
        <v>10</v>
      </c>
      <c r="F16" s="92">
        <f>+VLOOKUP(E16,'DATA SHEET'!$B$10:$C$12,2,FALSE)</f>
        <v>1</v>
      </c>
      <c r="G16" s="100" t="s">
        <v>58</v>
      </c>
      <c r="H16" s="106"/>
      <c r="J16" s="28"/>
      <c r="K16" s="34"/>
      <c r="L16" s="34"/>
      <c r="M16" s="34"/>
      <c r="R16" s="35"/>
    </row>
    <row r="17" spans="1:17" x14ac:dyDescent="0.25">
      <c r="A17" s="21" t="s">
        <v>115</v>
      </c>
      <c r="B17" s="87" t="s">
        <v>8</v>
      </c>
      <c r="C17" s="86">
        <f>+VLOOKUP(B17,'DATA SHEET'!$B$3:$C$7,2,FALSE)</f>
        <v>3</v>
      </c>
      <c r="D17" s="96" t="s">
        <v>105</v>
      </c>
      <c r="E17" s="87" t="s">
        <v>10</v>
      </c>
      <c r="F17" s="92">
        <f>+VLOOKUP(E17,'DATA SHEET'!$B$10:$C$12,2,FALSE)</f>
        <v>1</v>
      </c>
      <c r="G17" s="100" t="s">
        <v>58</v>
      </c>
      <c r="H17" s="106"/>
      <c r="N17" s="5"/>
      <c r="P17" s="5"/>
      <c r="Q17" s="5"/>
    </row>
    <row r="18" spans="1:17" x14ac:dyDescent="0.25">
      <c r="A18" s="21" t="s">
        <v>116</v>
      </c>
      <c r="B18" s="87" t="s">
        <v>6</v>
      </c>
      <c r="C18" s="86">
        <f>+VLOOKUP(B18,'DATA SHEET'!$B$3:$C$7,2,FALSE)</f>
        <v>2</v>
      </c>
      <c r="D18" s="87" t="s">
        <v>98</v>
      </c>
      <c r="E18" s="87" t="s">
        <v>8</v>
      </c>
      <c r="F18" s="92">
        <f>+VLOOKUP(E18,'DATA SHEET'!$B$10:$C$12,2,FALSE)</f>
        <v>2</v>
      </c>
      <c r="G18" s="100" t="s">
        <v>58</v>
      </c>
      <c r="H18" s="106"/>
      <c r="N18" s="5"/>
      <c r="P18" s="5"/>
      <c r="Q18" s="5"/>
    </row>
    <row r="19" spans="1:17" x14ac:dyDescent="0.25">
      <c r="A19" s="21" t="s">
        <v>117</v>
      </c>
      <c r="B19" s="87" t="s">
        <v>6</v>
      </c>
      <c r="C19" s="86">
        <f>+VLOOKUP(B19,'DATA SHEET'!$B$3:$C$7,2,FALSE)</f>
        <v>2</v>
      </c>
      <c r="D19" s="87" t="s">
        <v>100</v>
      </c>
      <c r="E19" s="87" t="s">
        <v>8</v>
      </c>
      <c r="F19" s="92">
        <f>+VLOOKUP(E19,'DATA SHEET'!$B$10:$C$12,2,FALSE)</f>
        <v>2</v>
      </c>
      <c r="G19" s="100" t="s">
        <v>58</v>
      </c>
      <c r="H19" s="106"/>
      <c r="N19" s="5"/>
      <c r="P19" s="5"/>
      <c r="Q19" s="5"/>
    </row>
    <row r="20" spans="1:17" x14ac:dyDescent="0.25">
      <c r="A20" s="45" t="s">
        <v>118</v>
      </c>
      <c r="B20" s="87" t="s">
        <v>6</v>
      </c>
      <c r="C20" s="86">
        <f>+VLOOKUP(B20,'DATA SHEET'!$B$3:$C$7,2,FALSE)</f>
        <v>2</v>
      </c>
      <c r="D20" s="97" t="s">
        <v>103</v>
      </c>
      <c r="E20" s="87" t="s">
        <v>8</v>
      </c>
      <c r="F20" s="92">
        <f>+VLOOKUP(E20,'DATA SHEET'!$B$10:$C$12,2,FALSE)</f>
        <v>2</v>
      </c>
      <c r="G20" s="100" t="s">
        <v>58</v>
      </c>
      <c r="H20" s="106"/>
      <c r="N20" s="5"/>
      <c r="P20" s="5"/>
      <c r="Q20" s="5"/>
    </row>
    <row r="21" spans="1:17" x14ac:dyDescent="0.25">
      <c r="A21" s="62" t="s">
        <v>119</v>
      </c>
      <c r="B21" s="89" t="s">
        <v>6</v>
      </c>
      <c r="C21" s="86">
        <f>+VLOOKUP(B21,'DATA SHEET'!$B$3:$C$7,2,FALSE)</f>
        <v>2</v>
      </c>
      <c r="D21" s="89" t="s">
        <v>98</v>
      </c>
      <c r="E21" s="89" t="s">
        <v>10</v>
      </c>
      <c r="F21" s="95">
        <f>+VLOOKUP(E21,'DATA SHEET'!$B$10:$C$12,2,FALSE)</f>
        <v>1</v>
      </c>
      <c r="G21" s="100" t="s">
        <v>58</v>
      </c>
      <c r="H21" s="106"/>
    </row>
    <row r="22" spans="1:17" x14ac:dyDescent="0.25">
      <c r="A22" s="62" t="s">
        <v>120</v>
      </c>
      <c r="B22" s="89" t="s">
        <v>6</v>
      </c>
      <c r="C22" s="86">
        <f>+VLOOKUP(B22,'DATA SHEET'!$B$3:$C$7,2,FALSE)</f>
        <v>2</v>
      </c>
      <c r="D22" s="89" t="s">
        <v>100</v>
      </c>
      <c r="E22" s="89" t="s">
        <v>10</v>
      </c>
      <c r="F22" s="95">
        <f>+VLOOKUP(E22,'DATA SHEET'!$B$10:$C$12,2,FALSE)</f>
        <v>1</v>
      </c>
      <c r="G22" s="100" t="s">
        <v>58</v>
      </c>
      <c r="H22" s="106"/>
    </row>
    <row r="23" spans="1:17" x14ac:dyDescent="0.25">
      <c r="A23" s="62" t="s">
        <v>121</v>
      </c>
      <c r="B23" s="89" t="s">
        <v>6</v>
      </c>
      <c r="C23" s="101">
        <f>+VLOOKUP(B23,'DATA SHEET'!$B$3:$C$7,2,FALSE)</f>
        <v>2</v>
      </c>
      <c r="D23" s="98" t="s">
        <v>122</v>
      </c>
      <c r="E23" s="89" t="s">
        <v>10</v>
      </c>
      <c r="F23" s="95">
        <f>+VLOOKUP(E23,'DATA SHEET'!$B$10:$C$12,2,FALSE)</f>
        <v>1</v>
      </c>
      <c r="G23" s="100" t="s">
        <v>58</v>
      </c>
      <c r="H23" s="106"/>
    </row>
    <row r="24" spans="1:17" x14ac:dyDescent="0.25">
      <c r="A24" s="83" t="s">
        <v>123</v>
      </c>
      <c r="B24" s="89" t="s">
        <v>6</v>
      </c>
      <c r="C24" s="86">
        <f>+VLOOKUP(B24,'DATA SHEET'!$B$3:$C$7,2,FALSE)</f>
        <v>2</v>
      </c>
      <c r="D24" s="89" t="s">
        <v>103</v>
      </c>
      <c r="E24" s="89" t="s">
        <v>10</v>
      </c>
      <c r="F24" s="95">
        <f>+VLOOKUP(E24,'DATA SHEET'!$B$10:$C$12,2,FALSE)</f>
        <v>1</v>
      </c>
      <c r="G24" s="100" t="s">
        <v>58</v>
      </c>
      <c r="H24" s="106"/>
    </row>
    <row r="26" spans="1:17" x14ac:dyDescent="0.25">
      <c r="A26" s="8" t="s">
        <v>124</v>
      </c>
      <c r="B26" s="90">
        <f>COUNTA(B2:B24)</f>
        <v>22</v>
      </c>
    </row>
  </sheetData>
  <sortState xmlns:xlrd2="http://schemas.microsoft.com/office/spreadsheetml/2017/richdata2" ref="A3:G118">
    <sortCondition ref="E3:E118" customList="H,M,L"/>
  </sortState>
  <mergeCells count="2">
    <mergeCell ref="N12:P12"/>
    <mergeCell ref="S2:T2"/>
  </mergeCells>
  <conditionalFormatting sqref="J1 G1:H1048576">
    <cfRule type="beginsWith" dxfId="18" priority="7" operator="beginsWith" text="Y">
      <formula>LEFT(G1,LEN("Y"))="Y"</formula>
    </cfRule>
  </conditionalFormatting>
  <conditionalFormatting sqref="J1 G1:G1048576">
    <cfRule type="beginsWith" dxfId="17" priority="6" operator="beginsWith" text="N">
      <formula>LEFT(G1,LEN("N"))="N"</formula>
    </cfRule>
  </conditionalFormatting>
  <dataValidations count="1">
    <dataValidation type="list" allowBlank="1" showInputMessage="1" showErrorMessage="1" sqref="G2:H24" xr:uid="{BC68654D-6B71-4189-89D7-3508F103553C}">
      <formula1>"Y,N"</formula1>
    </dataValidation>
  </dataValidations>
  <pageMargins left="0.25" right="0.25" top="0.25" bottom="0.25" header="0" footer="0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8332DEB2-E206-47EC-95C4-360279BA5D75}">
            <xm:f>NOT(ISERROR(SEARCH("H",E2)))</xm:f>
            <xm:f>"H"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E2:F24</xm:sqref>
        </x14:conditionalFormatting>
        <x14:conditionalFormatting xmlns:xm="http://schemas.microsoft.com/office/excel/2006/main">
          <x14:cfRule type="containsText" priority="2" operator="containsText" id="{443098DC-B6CD-4CFE-960F-E284E5411E27}">
            <xm:f>NOT(ISERROR(SEARCH("m",E2)))</xm:f>
            <xm:f>"m"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E2:F24</xm:sqref>
        </x14:conditionalFormatting>
        <x14:conditionalFormatting xmlns:xm="http://schemas.microsoft.com/office/excel/2006/main">
          <x14:cfRule type="containsText" priority="1" operator="containsText" id="{F2FAAF88-E20D-4ECF-AEB3-DED33DAC7DD4}">
            <xm:f>NOT(ISERROR(SEARCH("L",E2)))</xm:f>
            <xm:f>"L"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E2:F24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753F0-6FC2-44B0-8DFA-6EC1DEF738E3}">
  <sheetPr codeName="Sheet9"/>
  <dimension ref="A1:T36"/>
  <sheetViews>
    <sheetView workbookViewId="0">
      <selection activeCell="J18" sqref="J18"/>
    </sheetView>
  </sheetViews>
  <sheetFormatPr defaultRowHeight="15" x14ac:dyDescent="0.25"/>
  <cols>
    <col min="1" max="1" width="68.140625" customWidth="1"/>
    <col min="2" max="2" width="6.42578125" customWidth="1"/>
    <col min="3" max="3" width="8.42578125" customWidth="1"/>
    <col min="4" max="4" width="14.28515625" bestFit="1" customWidth="1"/>
    <col min="5" max="5" width="9.42578125" customWidth="1"/>
    <col min="6" max="6" width="12.7109375" customWidth="1"/>
    <col min="7" max="7" width="7.7109375" customWidth="1"/>
    <col min="8" max="8" width="7.85546875" customWidth="1"/>
    <col min="10" max="10" width="21.7109375" style="4" bestFit="1" customWidth="1"/>
    <col min="11" max="11" width="10.140625" style="5" bestFit="1" customWidth="1"/>
    <col min="12" max="12" width="8.5703125" style="5" bestFit="1" customWidth="1"/>
    <col min="13" max="13" width="11.7109375" style="5" bestFit="1" customWidth="1"/>
    <col min="14" max="14" width="8" bestFit="1" customWidth="1"/>
    <col min="15" max="15" width="9.7109375" bestFit="1" customWidth="1"/>
    <col min="16" max="16" width="11.140625" customWidth="1"/>
    <col min="17" max="17" width="13.5703125" bestFit="1" customWidth="1"/>
    <col min="18" max="18" width="33" customWidth="1"/>
    <col min="19" max="19" width="18.85546875" customWidth="1"/>
  </cols>
  <sheetData>
    <row r="1" spans="1:20" ht="15.75" thickBot="1" x14ac:dyDescent="0.3">
      <c r="A1" s="148" t="s">
        <v>46</v>
      </c>
      <c r="B1" s="149" t="s">
        <v>1</v>
      </c>
      <c r="C1" s="149" t="s">
        <v>20</v>
      </c>
      <c r="D1" s="150" t="s">
        <v>22</v>
      </c>
      <c r="E1" s="149" t="s">
        <v>23</v>
      </c>
      <c r="F1" s="150" t="s">
        <v>96</v>
      </c>
      <c r="G1" s="150" t="s">
        <v>47</v>
      </c>
      <c r="H1" s="151" t="s">
        <v>155</v>
      </c>
      <c r="J1" s="27" t="s">
        <v>163</v>
      </c>
    </row>
    <row r="2" spans="1:20" ht="15.75" thickBot="1" x14ac:dyDescent="0.3">
      <c r="A2" s="138"/>
      <c r="B2" s="139"/>
      <c r="C2" s="139" t="e">
        <f>+VLOOKUP(B2,'DATA SHEET'!$B$3:$C$7,2,FALSE)</f>
        <v>#N/A</v>
      </c>
      <c r="D2" s="139"/>
      <c r="E2" s="139"/>
      <c r="F2" s="140" t="e">
        <f>+VLOOKUP(E2,'DATA SHEET'!$B$10:$C$12,2,FALSE)</f>
        <v>#N/A</v>
      </c>
      <c r="G2" s="141"/>
      <c r="H2" s="142"/>
      <c r="J2" s="41" t="s">
        <v>50</v>
      </c>
      <c r="K2" s="41" t="s">
        <v>51</v>
      </c>
      <c r="L2" s="41" t="s">
        <v>156</v>
      </c>
      <c r="M2" s="41" t="s">
        <v>161</v>
      </c>
      <c r="N2" s="41" t="s">
        <v>52</v>
      </c>
      <c r="O2" s="41" t="s">
        <v>53</v>
      </c>
      <c r="P2" s="42" t="s">
        <v>54</v>
      </c>
      <c r="Q2" s="120" t="s">
        <v>162</v>
      </c>
      <c r="R2" s="114" t="s">
        <v>55</v>
      </c>
      <c r="S2" s="132" t="s">
        <v>56</v>
      </c>
      <c r="T2" s="133"/>
    </row>
    <row r="3" spans="1:20" x14ac:dyDescent="0.25">
      <c r="A3" t="s">
        <v>164</v>
      </c>
      <c r="B3" t="s">
        <v>6</v>
      </c>
      <c r="C3">
        <f>+VLOOKUP(B3,'DATA SHEET'!$B$3:$C$7,2,FALSE)</f>
        <v>2</v>
      </c>
      <c r="D3" t="s">
        <v>165</v>
      </c>
      <c r="E3" s="143" t="s">
        <v>8</v>
      </c>
      <c r="F3">
        <f>+VLOOKUP(E3,'DATA SHEET'!$B$10:$C$12,2,FALSE)</f>
        <v>2</v>
      </c>
      <c r="G3" s="144" t="s">
        <v>58</v>
      </c>
      <c r="H3" t="s">
        <v>58</v>
      </c>
      <c r="J3" s="33" t="s">
        <v>59</v>
      </c>
      <c r="K3" s="43"/>
      <c r="L3" s="122">
        <f>COUNTIF(D:D,"*"&amp;J3&amp;"*")</f>
        <v>11</v>
      </c>
      <c r="M3" s="11">
        <f>COUNTIFS(D:D,"*"&amp;J3&amp;"*",H:H,"Y")</f>
        <v>3</v>
      </c>
      <c r="N3" s="124">
        <f>SUMIF(D:D,"*"&amp;J3&amp;"*",C:C)</f>
        <v>27</v>
      </c>
      <c r="O3" s="44">
        <f>SUMIFS(C:C,D:D,"*"&amp;J3&amp;"*",G:G,"Y")</f>
        <v>18</v>
      </c>
      <c r="P3" s="44">
        <f>SUMIFS(C:C,D:D,"*"&amp;J3&amp;"*",G:G,"N")</f>
        <v>9</v>
      </c>
      <c r="Q3" s="130">
        <f>$O3/$N3</f>
        <v>0.66666666666666663</v>
      </c>
      <c r="R3" s="128"/>
      <c r="S3" s="33" t="s">
        <v>60</v>
      </c>
      <c r="T3" s="110">
        <f>SUM(O3:O10)</f>
        <v>75</v>
      </c>
    </row>
    <row r="4" spans="1:20" x14ac:dyDescent="0.25">
      <c r="A4" t="s">
        <v>168</v>
      </c>
      <c r="B4" t="s">
        <v>8</v>
      </c>
      <c r="C4">
        <f>+VLOOKUP(B4,'DATA SHEET'!$B$3:$C$7,2,FALSE)</f>
        <v>3</v>
      </c>
      <c r="D4" t="s">
        <v>169</v>
      </c>
      <c r="E4" s="146" t="s">
        <v>16</v>
      </c>
      <c r="F4">
        <f>+VLOOKUP(E4,'DATA SHEET'!$B$10:$C$12,2,FALSE)</f>
        <v>3</v>
      </c>
      <c r="G4" s="144" t="s">
        <v>58</v>
      </c>
      <c r="H4" t="s">
        <v>58</v>
      </c>
      <c r="J4" s="13" t="s">
        <v>62</v>
      </c>
      <c r="K4" s="11"/>
      <c r="L4" s="73">
        <f t="shared" ref="L4:L10" si="0">COUNTIF(D:D,"*"&amp;J4&amp;"*")</f>
        <v>10</v>
      </c>
      <c r="M4" s="11">
        <f t="shared" ref="M4:M10" si="1">COUNTIFS(D:D,"*"&amp;J4&amp;"*",H:H,"Y")</f>
        <v>1</v>
      </c>
      <c r="N4" s="125">
        <f t="shared" ref="N4:N10" si="2">SUMIF(D:D,"*"&amp;J4&amp;"*",C:C)</f>
        <v>28</v>
      </c>
      <c r="O4" s="12">
        <f t="shared" ref="O4:O10" si="3">SUMIFS(C:C,D:D,"*"&amp;J4&amp;"*",G:G,"Y")</f>
        <v>26</v>
      </c>
      <c r="P4" s="12">
        <f t="shared" ref="P4:P10" si="4">SUMIFS(C:C,D:D,"*"&amp;J4&amp;"*",G:G,"N")</f>
        <v>2</v>
      </c>
      <c r="Q4" s="130">
        <f t="shared" ref="Q4:Q10" si="5">$O4/$N4</f>
        <v>0.9285714285714286</v>
      </c>
      <c r="R4" s="74"/>
      <c r="S4" s="32" t="s">
        <v>63</v>
      </c>
      <c r="T4" s="111">
        <f>SUM(P3:P10)</f>
        <v>21</v>
      </c>
    </row>
    <row r="5" spans="1:20" x14ac:dyDescent="0.25">
      <c r="A5" t="s">
        <v>170</v>
      </c>
      <c r="B5" t="s">
        <v>10</v>
      </c>
      <c r="C5">
        <f>+VLOOKUP(B5,'DATA SHEET'!$B$3:$C$7,2,FALSE)</f>
        <v>5</v>
      </c>
      <c r="D5" t="s">
        <v>171</v>
      </c>
      <c r="E5" s="146" t="s">
        <v>16</v>
      </c>
      <c r="F5">
        <f>+VLOOKUP(E5,'DATA SHEET'!$B$10:$C$12,2,FALSE)</f>
        <v>3</v>
      </c>
      <c r="G5" s="144" t="s">
        <v>58</v>
      </c>
      <c r="H5" t="s">
        <v>58</v>
      </c>
      <c r="J5" s="13" t="s">
        <v>66</v>
      </c>
      <c r="K5" s="11"/>
      <c r="L5" s="73">
        <f t="shared" si="0"/>
        <v>5</v>
      </c>
      <c r="M5" s="11">
        <f t="shared" si="1"/>
        <v>1</v>
      </c>
      <c r="N5" s="125">
        <f t="shared" si="2"/>
        <v>14</v>
      </c>
      <c r="O5" s="12">
        <f t="shared" si="3"/>
        <v>12</v>
      </c>
      <c r="P5" s="12">
        <f t="shared" si="4"/>
        <v>2</v>
      </c>
      <c r="Q5" s="130">
        <f t="shared" si="5"/>
        <v>0.8571428571428571</v>
      </c>
      <c r="R5" s="74"/>
      <c r="S5" s="112" t="s">
        <v>67</v>
      </c>
      <c r="T5" s="119">
        <f>O11/N11</f>
        <v>0.78125</v>
      </c>
    </row>
    <row r="6" spans="1:20" ht="15.75" thickBot="1" x14ac:dyDescent="0.3">
      <c r="A6" t="s">
        <v>175</v>
      </c>
      <c r="B6" t="s">
        <v>6</v>
      </c>
      <c r="C6">
        <f>+VLOOKUP(B6,'DATA SHEET'!$B$3:$C$7,2,FALSE)</f>
        <v>2</v>
      </c>
      <c r="D6" t="s">
        <v>169</v>
      </c>
      <c r="E6" s="143" t="s">
        <v>8</v>
      </c>
      <c r="F6">
        <f>+VLOOKUP(E6,'DATA SHEET'!$B$10:$C$12,2,FALSE)</f>
        <v>2</v>
      </c>
      <c r="G6" s="144" t="s">
        <v>58</v>
      </c>
      <c r="H6" t="s">
        <v>58</v>
      </c>
      <c r="J6" s="13" t="s">
        <v>69</v>
      </c>
      <c r="K6" s="73"/>
      <c r="L6" s="73">
        <f t="shared" si="0"/>
        <v>3</v>
      </c>
      <c r="M6" s="11">
        <f t="shared" si="1"/>
        <v>0</v>
      </c>
      <c r="N6" s="125">
        <f t="shared" si="2"/>
        <v>10</v>
      </c>
      <c r="O6" s="12">
        <f t="shared" si="3"/>
        <v>5</v>
      </c>
      <c r="P6" s="12">
        <f t="shared" si="4"/>
        <v>5</v>
      </c>
      <c r="Q6" s="130">
        <f t="shared" si="5"/>
        <v>0.5</v>
      </c>
      <c r="R6" s="74"/>
      <c r="S6" s="15" t="s">
        <v>154</v>
      </c>
      <c r="T6" s="18">
        <v>34</v>
      </c>
    </row>
    <row r="7" spans="1:20" x14ac:dyDescent="0.25">
      <c r="A7" t="s">
        <v>176</v>
      </c>
      <c r="B7" t="s">
        <v>6</v>
      </c>
      <c r="C7">
        <f>+VLOOKUP(B7,'DATA SHEET'!$B$3:$C$7,2,FALSE)</f>
        <v>2</v>
      </c>
      <c r="D7" t="s">
        <v>169</v>
      </c>
      <c r="E7" s="143" t="s">
        <v>8</v>
      </c>
      <c r="F7">
        <f>+VLOOKUP(E7,'DATA SHEET'!$B$10:$C$12,2,FALSE)</f>
        <v>2</v>
      </c>
      <c r="G7" s="144" t="s">
        <v>58</v>
      </c>
      <c r="H7" t="s">
        <v>58</v>
      </c>
      <c r="J7" s="13" t="s">
        <v>71</v>
      </c>
      <c r="K7" s="69"/>
      <c r="L7" s="73">
        <f t="shared" si="0"/>
        <v>3</v>
      </c>
      <c r="M7" s="11">
        <f t="shared" si="1"/>
        <v>2</v>
      </c>
      <c r="N7" s="125">
        <f t="shared" si="2"/>
        <v>11</v>
      </c>
      <c r="O7" s="12">
        <f t="shared" si="3"/>
        <v>8</v>
      </c>
      <c r="P7" s="12">
        <f t="shared" si="4"/>
        <v>3</v>
      </c>
      <c r="Q7" s="130">
        <f t="shared" si="5"/>
        <v>0.72727272727272729</v>
      </c>
      <c r="R7" s="129"/>
    </row>
    <row r="8" spans="1:20" x14ac:dyDescent="0.25">
      <c r="A8" t="s">
        <v>177</v>
      </c>
      <c r="B8" t="s">
        <v>6</v>
      </c>
      <c r="C8">
        <f>+VLOOKUP(B8,'DATA SHEET'!$B$3:$C$7,2,FALSE)</f>
        <v>2</v>
      </c>
      <c r="D8" t="s">
        <v>169</v>
      </c>
      <c r="E8" s="143" t="s">
        <v>8</v>
      </c>
      <c r="F8">
        <f>+VLOOKUP(E8,'DATA SHEET'!$B$10:$C$12,2,FALSE)</f>
        <v>2</v>
      </c>
      <c r="G8" s="144" t="s">
        <v>58</v>
      </c>
      <c r="H8" t="s">
        <v>58</v>
      </c>
      <c r="J8" s="13" t="s">
        <v>73</v>
      </c>
      <c r="K8" s="69"/>
      <c r="L8" s="73">
        <f t="shared" si="0"/>
        <v>0</v>
      </c>
      <c r="M8" s="11">
        <f t="shared" si="1"/>
        <v>0</v>
      </c>
      <c r="N8" s="125">
        <f t="shared" si="2"/>
        <v>0</v>
      </c>
      <c r="O8" s="12">
        <f t="shared" si="3"/>
        <v>0</v>
      </c>
      <c r="P8" s="12">
        <f t="shared" si="4"/>
        <v>0</v>
      </c>
      <c r="Q8" s="130" t="e">
        <f t="shared" si="5"/>
        <v>#DIV/0!</v>
      </c>
      <c r="R8" s="129"/>
    </row>
    <row r="9" spans="1:20" x14ac:dyDescent="0.25">
      <c r="A9" t="s">
        <v>179</v>
      </c>
      <c r="B9" t="s">
        <v>6</v>
      </c>
      <c r="C9">
        <f>+VLOOKUP(B9,'DATA SHEET'!$B$3:$C$7,2,FALSE)</f>
        <v>2</v>
      </c>
      <c r="D9" t="s">
        <v>167</v>
      </c>
      <c r="E9" s="145" t="s">
        <v>10</v>
      </c>
      <c r="F9">
        <f>+VLOOKUP(E9,'DATA SHEET'!$B$10:$C$12,2,FALSE)</f>
        <v>1</v>
      </c>
      <c r="G9" s="144" t="s">
        <v>58</v>
      </c>
      <c r="H9" t="s">
        <v>58</v>
      </c>
      <c r="J9" s="68" t="s">
        <v>76</v>
      </c>
      <c r="K9" s="69"/>
      <c r="L9" s="73">
        <f t="shared" si="0"/>
        <v>2</v>
      </c>
      <c r="M9" s="11">
        <f t="shared" si="1"/>
        <v>0</v>
      </c>
      <c r="N9" s="125">
        <f t="shared" si="2"/>
        <v>6</v>
      </c>
      <c r="O9" s="12">
        <f t="shared" si="3"/>
        <v>6</v>
      </c>
      <c r="P9" s="12">
        <f t="shared" si="4"/>
        <v>0</v>
      </c>
      <c r="Q9" s="130">
        <f t="shared" si="5"/>
        <v>1</v>
      </c>
      <c r="R9" s="129"/>
    </row>
    <row r="10" spans="1:20" ht="15.75" thickBot="1" x14ac:dyDescent="0.3">
      <c r="A10" t="s">
        <v>223</v>
      </c>
      <c r="B10" t="s">
        <v>8</v>
      </c>
      <c r="C10">
        <f>+VLOOKUP(B10,'DATA SHEET'!$B$3:$C$7,2,FALSE)</f>
        <v>3</v>
      </c>
      <c r="D10" t="s">
        <v>178</v>
      </c>
      <c r="E10" s="143" t="s">
        <v>8</v>
      </c>
      <c r="F10">
        <f>+VLOOKUP(E10,'DATA SHEET'!$B$10:$C$12,2,FALSE)</f>
        <v>2</v>
      </c>
      <c r="G10" s="144" t="s">
        <v>58</v>
      </c>
      <c r="H10" t="s">
        <v>58</v>
      </c>
      <c r="J10" s="15" t="s">
        <v>79</v>
      </c>
      <c r="K10" s="16"/>
      <c r="L10" s="123">
        <f t="shared" si="0"/>
        <v>0</v>
      </c>
      <c r="M10" s="69">
        <f t="shared" si="1"/>
        <v>0</v>
      </c>
      <c r="N10" s="126">
        <f t="shared" si="2"/>
        <v>0</v>
      </c>
      <c r="O10" s="71">
        <f t="shared" si="3"/>
        <v>0</v>
      </c>
      <c r="P10" s="71">
        <f t="shared" si="4"/>
        <v>0</v>
      </c>
      <c r="Q10" s="130" t="e">
        <f t="shared" si="5"/>
        <v>#DIV/0!</v>
      </c>
      <c r="R10" s="18"/>
    </row>
    <row r="11" spans="1:20" ht="15.75" thickBot="1" x14ac:dyDescent="0.3">
      <c r="A11" t="s">
        <v>180</v>
      </c>
      <c r="B11" t="s">
        <v>10</v>
      </c>
      <c r="C11">
        <f>+VLOOKUP(B11,'DATA SHEET'!$B$3:$C$7,2,FALSE)</f>
        <v>5</v>
      </c>
      <c r="D11" t="s">
        <v>178</v>
      </c>
      <c r="E11" s="146" t="s">
        <v>16</v>
      </c>
      <c r="F11">
        <f>+VLOOKUP(E11,'DATA SHEET'!$B$10:$C$12,2,FALSE)</f>
        <v>3</v>
      </c>
      <c r="G11" s="147" t="s">
        <v>75</v>
      </c>
      <c r="H11" t="s">
        <v>75</v>
      </c>
      <c r="J11" s="37"/>
      <c r="K11" s="38"/>
      <c r="L11" s="117">
        <f>SUM(L3:L10)</f>
        <v>34</v>
      </c>
      <c r="M11" s="127">
        <f>SUM(M3:M10)</f>
        <v>7</v>
      </c>
      <c r="N11" s="118">
        <f>SUM(N3:N10)</f>
        <v>96</v>
      </c>
      <c r="O11" s="115">
        <f>SUM(O3:O10)</f>
        <v>75</v>
      </c>
      <c r="P11" s="116">
        <f>SUM(P3:P10)</f>
        <v>21</v>
      </c>
      <c r="Q11" s="121"/>
      <c r="R11" s="39"/>
    </row>
    <row r="12" spans="1:20" x14ac:dyDescent="0.25">
      <c r="A12" t="s">
        <v>184</v>
      </c>
      <c r="B12" t="s">
        <v>8</v>
      </c>
      <c r="C12">
        <f>+VLOOKUP(B12,'DATA SHEET'!$B$3:$C$7,2,FALSE)</f>
        <v>3</v>
      </c>
      <c r="D12" t="s">
        <v>185</v>
      </c>
      <c r="E12" s="146" t="s">
        <v>16</v>
      </c>
      <c r="F12">
        <f>+VLOOKUP(E12,'DATA SHEET'!$B$10:$C$12,2,FALSE)</f>
        <v>3</v>
      </c>
      <c r="G12" s="147" t="s">
        <v>75</v>
      </c>
      <c r="H12" t="s">
        <v>58</v>
      </c>
      <c r="J12" s="37"/>
      <c r="K12" s="38"/>
      <c r="L12" s="38"/>
      <c r="M12" s="38"/>
      <c r="N12" s="134" t="s">
        <v>82</v>
      </c>
      <c r="O12" s="134"/>
      <c r="P12" s="134"/>
      <c r="Q12" s="131"/>
      <c r="R12" s="39"/>
    </row>
    <row r="13" spans="1:20" x14ac:dyDescent="0.25">
      <c r="A13" t="s">
        <v>186</v>
      </c>
      <c r="B13" t="s">
        <v>8</v>
      </c>
      <c r="C13">
        <f>+VLOOKUP(B13,'DATA SHEET'!$B$3:$C$7,2,FALSE)</f>
        <v>3</v>
      </c>
      <c r="D13" t="s">
        <v>185</v>
      </c>
      <c r="E13" s="146" t="s">
        <v>16</v>
      </c>
      <c r="F13">
        <f>+VLOOKUP(E13,'DATA SHEET'!$B$10:$C$12,2,FALSE)</f>
        <v>3</v>
      </c>
      <c r="G13" s="147" t="s">
        <v>75</v>
      </c>
      <c r="H13" t="s">
        <v>58</v>
      </c>
      <c r="J13" s="37"/>
      <c r="K13" s="38"/>
      <c r="L13" s="38"/>
      <c r="M13" s="38"/>
      <c r="N13" s="38"/>
      <c r="O13" s="38"/>
      <c r="P13" s="38"/>
      <c r="Q13" s="38"/>
      <c r="R13" s="39"/>
    </row>
    <row r="14" spans="1:20" x14ac:dyDescent="0.25">
      <c r="A14" t="s">
        <v>183</v>
      </c>
      <c r="B14" t="s">
        <v>8</v>
      </c>
      <c r="C14">
        <f>+VLOOKUP(B14,'DATA SHEET'!$B$3:$C$7,2,FALSE)</f>
        <v>3</v>
      </c>
      <c r="D14" t="s">
        <v>171</v>
      </c>
      <c r="E14" s="146" t="s">
        <v>16</v>
      </c>
      <c r="F14">
        <f>+VLOOKUP(E14,'DATA SHEET'!$B$10:$C$12,2,FALSE)</f>
        <v>3</v>
      </c>
      <c r="G14" s="147" t="s">
        <v>75</v>
      </c>
      <c r="H14" t="s">
        <v>58</v>
      </c>
      <c r="J14" s="37"/>
      <c r="K14" s="38"/>
      <c r="L14" s="38"/>
      <c r="M14" s="38"/>
      <c r="N14" s="38"/>
      <c r="O14" s="38"/>
      <c r="P14" s="38"/>
      <c r="Q14" s="38"/>
      <c r="R14" s="39"/>
    </row>
    <row r="15" spans="1:20" x14ac:dyDescent="0.25">
      <c r="A15" t="s">
        <v>173</v>
      </c>
      <c r="B15" t="s">
        <v>8</v>
      </c>
      <c r="C15">
        <f>+VLOOKUP(B15,'DATA SHEET'!$B$3:$C$7,2,FALSE)</f>
        <v>3</v>
      </c>
      <c r="D15" t="s">
        <v>165</v>
      </c>
      <c r="E15" s="146" t="s">
        <v>16</v>
      </c>
      <c r="F15">
        <f>+VLOOKUP(E15,'DATA SHEET'!$B$10:$C$12,2,FALSE)</f>
        <v>3</v>
      </c>
      <c r="G15" s="147" t="s">
        <v>75</v>
      </c>
      <c r="H15" t="s">
        <v>58</v>
      </c>
      <c r="J15" s="37"/>
      <c r="K15" s="38"/>
      <c r="L15" s="38"/>
      <c r="M15" s="38"/>
      <c r="N15" s="38"/>
      <c r="O15" s="38"/>
      <c r="P15" s="38"/>
      <c r="Q15" s="38"/>
      <c r="R15" s="39"/>
    </row>
    <row r="16" spans="1:20" x14ac:dyDescent="0.25">
      <c r="A16" t="s">
        <v>187</v>
      </c>
      <c r="B16" t="s">
        <v>8</v>
      </c>
      <c r="C16">
        <f>+VLOOKUP(B16,'DATA SHEET'!$B$3:$C$7,2,FALSE)</f>
        <v>3</v>
      </c>
      <c r="D16" t="s">
        <v>167</v>
      </c>
      <c r="E16" s="146" t="s">
        <v>16</v>
      </c>
      <c r="F16">
        <f>+VLOOKUP(E16,'DATA SHEET'!$B$10:$C$12,2,FALSE)</f>
        <v>3</v>
      </c>
      <c r="G16" s="147" t="s">
        <v>75</v>
      </c>
      <c r="H16" t="s">
        <v>58</v>
      </c>
      <c r="J16" s="28"/>
      <c r="K16" s="34"/>
      <c r="L16" s="34"/>
      <c r="M16" s="34"/>
      <c r="R16" s="35"/>
    </row>
    <row r="17" spans="1:17" x14ac:dyDescent="0.25">
      <c r="A17" t="s">
        <v>188</v>
      </c>
      <c r="B17" t="s">
        <v>8</v>
      </c>
      <c r="C17">
        <f>+VLOOKUP(B17,'DATA SHEET'!$B$3:$C$7,2,FALSE)</f>
        <v>3</v>
      </c>
      <c r="D17" t="s">
        <v>167</v>
      </c>
      <c r="E17" s="146" t="s">
        <v>16</v>
      </c>
      <c r="F17">
        <f>+VLOOKUP(E17,'DATA SHEET'!$B$10:$C$12,2,FALSE)</f>
        <v>3</v>
      </c>
      <c r="G17" s="147" t="s">
        <v>75</v>
      </c>
      <c r="H17" t="s">
        <v>75</v>
      </c>
      <c r="N17" s="5"/>
      <c r="P17" s="5"/>
      <c r="Q17" s="5"/>
    </row>
    <row r="18" spans="1:17" x14ac:dyDescent="0.25">
      <c r="A18" t="s">
        <v>224</v>
      </c>
      <c r="B18" t="s">
        <v>8</v>
      </c>
      <c r="C18">
        <f>+VLOOKUP(B18,'DATA SHEET'!$B$3:$C$7,2,FALSE)</f>
        <v>3</v>
      </c>
      <c r="D18" t="s">
        <v>167</v>
      </c>
      <c r="E18" s="146" t="s">
        <v>16</v>
      </c>
      <c r="F18">
        <f>+VLOOKUP(E18,'DATA SHEET'!$B$10:$C$12,2,FALSE)</f>
        <v>3</v>
      </c>
      <c r="G18" s="147" t="s">
        <v>75</v>
      </c>
      <c r="H18" t="s">
        <v>58</v>
      </c>
      <c r="N18" s="5"/>
      <c r="P18" s="5"/>
      <c r="Q18" s="5"/>
    </row>
    <row r="19" spans="1:17" x14ac:dyDescent="0.25">
      <c r="A19" t="s">
        <v>189</v>
      </c>
      <c r="B19" t="s">
        <v>10</v>
      </c>
      <c r="C19">
        <f>+VLOOKUP(B19,'DATA SHEET'!$B$3:$C$7,2,FALSE)</f>
        <v>5</v>
      </c>
      <c r="D19" t="s">
        <v>167</v>
      </c>
      <c r="E19" s="146" t="s">
        <v>16</v>
      </c>
      <c r="F19">
        <f>+VLOOKUP(E19,'DATA SHEET'!$B$10:$C$12,2,FALSE)</f>
        <v>3</v>
      </c>
      <c r="G19" s="147" t="s">
        <v>75</v>
      </c>
      <c r="H19" t="s">
        <v>58</v>
      </c>
      <c r="N19" s="5"/>
      <c r="P19" s="5"/>
      <c r="Q19" s="5"/>
    </row>
    <row r="20" spans="1:17" x14ac:dyDescent="0.25">
      <c r="A20" t="s">
        <v>190</v>
      </c>
      <c r="B20" t="s">
        <v>6</v>
      </c>
      <c r="C20">
        <f>+VLOOKUP(B20,'DATA SHEET'!$B$3:$C$7,2,FALSE)</f>
        <v>2</v>
      </c>
      <c r="D20" t="s">
        <v>165</v>
      </c>
      <c r="E20" s="146" t="s">
        <v>16</v>
      </c>
      <c r="F20">
        <f>+VLOOKUP(E20,'DATA SHEET'!$B$10:$C$12,2,FALSE)</f>
        <v>3</v>
      </c>
      <c r="G20" s="147" t="s">
        <v>75</v>
      </c>
      <c r="H20" t="s">
        <v>75</v>
      </c>
      <c r="N20" s="5"/>
      <c r="P20" s="5"/>
      <c r="Q20" s="5"/>
    </row>
    <row r="21" spans="1:17" x14ac:dyDescent="0.25">
      <c r="A21" t="s">
        <v>172</v>
      </c>
      <c r="B21" t="s">
        <v>10</v>
      </c>
      <c r="C21">
        <f>+VLOOKUP(B21,'DATA SHEET'!$B$3:$C$7,2,FALSE)</f>
        <v>5</v>
      </c>
      <c r="D21" t="s">
        <v>165</v>
      </c>
      <c r="E21" s="146" t="s">
        <v>16</v>
      </c>
      <c r="F21">
        <f>+VLOOKUP(E21,'DATA SHEET'!$B$10:$C$12,2,FALSE)</f>
        <v>3</v>
      </c>
      <c r="G21" s="147" t="s">
        <v>75</v>
      </c>
      <c r="H21" t="s">
        <v>58</v>
      </c>
    </row>
    <row r="22" spans="1:17" x14ac:dyDescent="0.25">
      <c r="A22" t="s">
        <v>191</v>
      </c>
      <c r="B22" t="s">
        <v>6</v>
      </c>
      <c r="C22">
        <f>+VLOOKUP(B22,'DATA SHEET'!$B$3:$C$7,2,FALSE)</f>
        <v>2</v>
      </c>
      <c r="D22" t="s">
        <v>167</v>
      </c>
      <c r="E22" s="143" t="s">
        <v>8</v>
      </c>
      <c r="F22">
        <f>+VLOOKUP(E22,'DATA SHEET'!$B$10:$C$12,2,FALSE)</f>
        <v>2</v>
      </c>
      <c r="G22" s="147" t="s">
        <v>75</v>
      </c>
      <c r="H22" t="s">
        <v>58</v>
      </c>
    </row>
    <row r="23" spans="1:17" x14ac:dyDescent="0.25">
      <c r="A23" t="s">
        <v>192</v>
      </c>
      <c r="B23" t="s">
        <v>6</v>
      </c>
      <c r="C23">
        <f>+VLOOKUP(B23,'DATA SHEET'!$B$3:$C$7,2,FALSE)</f>
        <v>2</v>
      </c>
      <c r="D23" t="s">
        <v>171</v>
      </c>
      <c r="E23" s="143" t="s">
        <v>8</v>
      </c>
      <c r="F23">
        <f>+VLOOKUP(E23,'DATA SHEET'!$B$10:$C$12,2,FALSE)</f>
        <v>2</v>
      </c>
      <c r="G23" s="147" t="s">
        <v>75</v>
      </c>
      <c r="H23" t="s">
        <v>58</v>
      </c>
    </row>
    <row r="24" spans="1:17" x14ac:dyDescent="0.25">
      <c r="A24" t="s">
        <v>193</v>
      </c>
      <c r="B24" t="s">
        <v>8</v>
      </c>
      <c r="C24">
        <f>+VLOOKUP(B24,'DATA SHEET'!$B$3:$C$7,2,FALSE)</f>
        <v>3</v>
      </c>
      <c r="D24" t="s">
        <v>167</v>
      </c>
      <c r="E24" s="143" t="s">
        <v>8</v>
      </c>
      <c r="F24">
        <f>+VLOOKUP(E24,'DATA SHEET'!$B$10:$C$12,2,FALSE)</f>
        <v>2</v>
      </c>
      <c r="G24" s="147" t="s">
        <v>75</v>
      </c>
      <c r="H24" t="s">
        <v>58</v>
      </c>
    </row>
    <row r="25" spans="1:17" x14ac:dyDescent="0.25">
      <c r="A25" t="s">
        <v>194</v>
      </c>
      <c r="B25" t="s">
        <v>8</v>
      </c>
      <c r="C25">
        <f>+VLOOKUP(B25,'DATA SHEET'!$B$3:$C$7,2,FALSE)</f>
        <v>3</v>
      </c>
      <c r="D25" t="s">
        <v>167</v>
      </c>
      <c r="E25" s="143" t="s">
        <v>8</v>
      </c>
      <c r="F25">
        <f>+VLOOKUP(E25,'DATA SHEET'!$B$10:$C$12,2,FALSE)</f>
        <v>2</v>
      </c>
      <c r="G25" s="147" t="s">
        <v>75</v>
      </c>
      <c r="H25" t="s">
        <v>58</v>
      </c>
    </row>
    <row r="26" spans="1:17" x14ac:dyDescent="0.25">
      <c r="A26" t="s">
        <v>195</v>
      </c>
      <c r="B26" t="s">
        <v>6</v>
      </c>
      <c r="C26">
        <f>+VLOOKUP(B26,'DATA SHEET'!$B$3:$C$7,2,FALSE)</f>
        <v>2</v>
      </c>
      <c r="D26" t="s">
        <v>167</v>
      </c>
      <c r="E26" s="143" t="s">
        <v>8</v>
      </c>
      <c r="F26">
        <f>+VLOOKUP(E26,'DATA SHEET'!$B$10:$C$12,2,FALSE)</f>
        <v>2</v>
      </c>
      <c r="G26" s="147" t="s">
        <v>75</v>
      </c>
      <c r="H26" t="s">
        <v>58</v>
      </c>
    </row>
    <row r="27" spans="1:17" x14ac:dyDescent="0.25">
      <c r="A27" t="s">
        <v>174</v>
      </c>
      <c r="B27" t="s">
        <v>6</v>
      </c>
      <c r="C27">
        <f>+VLOOKUP(B27,'DATA SHEET'!$B$3:$C$7,2,FALSE)</f>
        <v>2</v>
      </c>
      <c r="D27" t="s">
        <v>165</v>
      </c>
      <c r="E27" s="143" t="s">
        <v>8</v>
      </c>
      <c r="F27">
        <f>+VLOOKUP(E27,'DATA SHEET'!$B$10:$C$12,2,FALSE)</f>
        <v>2</v>
      </c>
      <c r="G27" s="147" t="s">
        <v>75</v>
      </c>
      <c r="H27" t="s">
        <v>58</v>
      </c>
    </row>
    <row r="28" spans="1:17" x14ac:dyDescent="0.25">
      <c r="A28" t="s">
        <v>196</v>
      </c>
      <c r="B28" t="s">
        <v>8</v>
      </c>
      <c r="C28">
        <f>+VLOOKUP(B28,'DATA SHEET'!$B$3:$C$7,2,FALSE)</f>
        <v>3</v>
      </c>
      <c r="D28" t="s">
        <v>178</v>
      </c>
      <c r="E28" s="143" t="s">
        <v>8</v>
      </c>
      <c r="F28">
        <f>+VLOOKUP(E28,'DATA SHEET'!$B$10:$C$12,2,FALSE)</f>
        <v>2</v>
      </c>
      <c r="G28" s="147" t="s">
        <v>75</v>
      </c>
      <c r="H28" t="s">
        <v>75</v>
      </c>
    </row>
    <row r="29" spans="1:17" x14ac:dyDescent="0.25">
      <c r="A29" t="s">
        <v>181</v>
      </c>
      <c r="B29" t="s">
        <v>8</v>
      </c>
      <c r="C29">
        <f>+VLOOKUP(B29,'DATA SHEET'!$B$3:$C$7,2,FALSE)</f>
        <v>3</v>
      </c>
      <c r="D29" t="s">
        <v>169</v>
      </c>
      <c r="E29" s="143" t="s">
        <v>8</v>
      </c>
      <c r="F29">
        <f>+VLOOKUP(E29,'DATA SHEET'!$B$10:$C$12,2,FALSE)</f>
        <v>2</v>
      </c>
      <c r="G29" s="147" t="s">
        <v>75</v>
      </c>
      <c r="H29" t="s">
        <v>75</v>
      </c>
    </row>
    <row r="30" spans="1:17" x14ac:dyDescent="0.25">
      <c r="A30" t="s">
        <v>197</v>
      </c>
      <c r="B30" t="s">
        <v>8</v>
      </c>
      <c r="C30">
        <f>+VLOOKUP(B30,'DATA SHEET'!$B$3:$C$7,2,FALSE)</f>
        <v>3</v>
      </c>
      <c r="D30" t="s">
        <v>169</v>
      </c>
      <c r="E30" s="143" t="s">
        <v>8</v>
      </c>
      <c r="F30">
        <f>+VLOOKUP(E30,'DATA SHEET'!$B$10:$C$12,2,FALSE)</f>
        <v>2</v>
      </c>
      <c r="G30" s="147" t="s">
        <v>75</v>
      </c>
      <c r="H30" t="s">
        <v>75</v>
      </c>
    </row>
    <row r="31" spans="1:17" x14ac:dyDescent="0.25">
      <c r="A31" t="s">
        <v>198</v>
      </c>
      <c r="B31" t="s">
        <v>6</v>
      </c>
      <c r="C31">
        <f>+VLOOKUP(B31,'DATA SHEET'!$B$3:$C$7,2,FALSE)</f>
        <v>2</v>
      </c>
      <c r="D31" t="s">
        <v>169</v>
      </c>
      <c r="E31" s="143" t="s">
        <v>8</v>
      </c>
      <c r="F31">
        <f>+VLOOKUP(E31,'DATA SHEET'!$B$10:$C$12,2,FALSE)</f>
        <v>2</v>
      </c>
      <c r="G31" s="147" t="s">
        <v>75</v>
      </c>
      <c r="H31" t="s">
        <v>58</v>
      </c>
    </row>
    <row r="32" spans="1:17" x14ac:dyDescent="0.25">
      <c r="A32" t="s">
        <v>199</v>
      </c>
      <c r="B32" t="s">
        <v>6</v>
      </c>
      <c r="C32">
        <f>+VLOOKUP(B32,'DATA SHEET'!$B$3:$C$7,2,FALSE)</f>
        <v>2</v>
      </c>
      <c r="D32" t="s">
        <v>169</v>
      </c>
      <c r="E32" s="145" t="s">
        <v>10</v>
      </c>
      <c r="F32">
        <f>+VLOOKUP(E32,'DATA SHEET'!$B$10:$C$12,2,FALSE)</f>
        <v>1</v>
      </c>
      <c r="G32" s="147" t="s">
        <v>75</v>
      </c>
      <c r="H32" t="s">
        <v>75</v>
      </c>
    </row>
    <row r="33" spans="1:8" x14ac:dyDescent="0.25">
      <c r="A33" t="s">
        <v>200</v>
      </c>
      <c r="B33" t="s">
        <v>6</v>
      </c>
      <c r="C33">
        <f>+VLOOKUP(B33,'DATA SHEET'!$B$3:$C$7,2,FALSE)</f>
        <v>2</v>
      </c>
      <c r="D33" t="s">
        <v>169</v>
      </c>
      <c r="E33" s="145" t="s">
        <v>10</v>
      </c>
      <c r="F33">
        <f>+VLOOKUP(E33,'DATA SHEET'!$B$10:$C$12,2,FALSE)</f>
        <v>1</v>
      </c>
      <c r="G33" s="147" t="s">
        <v>75</v>
      </c>
      <c r="H33" t="s">
        <v>58</v>
      </c>
    </row>
    <row r="34" spans="1:8" x14ac:dyDescent="0.25">
      <c r="A34" t="s">
        <v>166</v>
      </c>
      <c r="B34" t="s">
        <v>6</v>
      </c>
      <c r="C34">
        <f>+VLOOKUP(B34,'DATA SHEET'!$B$3:$C$7,2,FALSE)</f>
        <v>2</v>
      </c>
      <c r="D34" t="s">
        <v>167</v>
      </c>
      <c r="E34" s="145" t="s">
        <v>10</v>
      </c>
      <c r="F34">
        <f>+VLOOKUP(E34,'DATA SHEET'!$B$10:$C$12,2,FALSE)</f>
        <v>1</v>
      </c>
      <c r="G34" s="147" t="s">
        <v>75</v>
      </c>
      <c r="H34" t="s">
        <v>58</v>
      </c>
    </row>
    <row r="35" spans="1:8" x14ac:dyDescent="0.25">
      <c r="A35" t="s">
        <v>201</v>
      </c>
      <c r="B35" t="s">
        <v>8</v>
      </c>
      <c r="C35">
        <f>+VLOOKUP(B35,'DATA SHEET'!$B$3:$C$7,2,FALSE)</f>
        <v>3</v>
      </c>
      <c r="D35" t="s">
        <v>169</v>
      </c>
      <c r="E35" s="145" t="s">
        <v>10</v>
      </c>
      <c r="F35">
        <f>+VLOOKUP(E35,'DATA SHEET'!$B$10:$C$12,2,FALSE)</f>
        <v>1</v>
      </c>
      <c r="G35" s="147" t="s">
        <v>75</v>
      </c>
      <c r="H35" t="s">
        <v>58</v>
      </c>
    </row>
    <row r="36" spans="1:8" x14ac:dyDescent="0.25">
      <c r="A36" t="s">
        <v>202</v>
      </c>
      <c r="B36" t="s">
        <v>8</v>
      </c>
      <c r="C36">
        <f>+VLOOKUP(B36,'DATA SHEET'!$B$3:$C$7,2,FALSE)</f>
        <v>3</v>
      </c>
      <c r="D36" t="s">
        <v>169</v>
      </c>
      <c r="E36" s="145" t="s">
        <v>10</v>
      </c>
      <c r="F36">
        <f>+VLOOKUP(E36,'DATA SHEET'!$B$10:$C$12,2,FALSE)</f>
        <v>1</v>
      </c>
      <c r="G36" s="147" t="s">
        <v>75</v>
      </c>
      <c r="H36" t="s">
        <v>58</v>
      </c>
    </row>
  </sheetData>
  <mergeCells count="2">
    <mergeCell ref="S2:T2"/>
    <mergeCell ref="N12:P12"/>
  </mergeCells>
  <conditionalFormatting sqref="G1:H2">
    <cfRule type="beginsWith" dxfId="13" priority="7" operator="beginsWith" text="Y">
      <formula>LEFT(G1,LEN("Y"))="Y"</formula>
    </cfRule>
  </conditionalFormatting>
  <conditionalFormatting sqref="G1:G2">
    <cfRule type="beginsWith" dxfId="12" priority="6" operator="beginsWith" text="N">
      <formula>LEFT(G1,LEN("N"))="N"</formula>
    </cfRule>
  </conditionalFormatting>
  <conditionalFormatting sqref="J1">
    <cfRule type="beginsWith" dxfId="8" priority="2" operator="beginsWith" text="Y">
      <formula>LEFT(J1,LEN("Y"))="Y"</formula>
    </cfRule>
  </conditionalFormatting>
  <conditionalFormatting sqref="J1">
    <cfRule type="beginsWith" dxfId="7" priority="1" operator="beginsWith" text="N">
      <formula>LEFT(J1,LEN("N"))="N"</formula>
    </cfRule>
  </conditionalFormatting>
  <dataValidations count="1">
    <dataValidation type="list" allowBlank="1" showInputMessage="1" showErrorMessage="1" sqref="G2:H2" xr:uid="{B219CDCE-9279-43F2-B2AA-6E4BD9902ABA}">
      <formula1>"Y,N"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3A0070DA-14B1-4BC3-B20D-0ADDEC82BD3B}">
            <xm:f>NOT(ISERROR(SEARCH("H",E2)))</xm:f>
            <xm:f>"H"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E2:F2</xm:sqref>
        </x14:conditionalFormatting>
        <x14:conditionalFormatting xmlns:xm="http://schemas.microsoft.com/office/excel/2006/main">
          <x14:cfRule type="containsText" priority="4" operator="containsText" id="{D0BE0E0E-CE82-4322-8612-5CE8E73F62C0}">
            <xm:f>NOT(ISERROR(SEARCH("m",E2)))</xm:f>
            <xm:f>"m"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E2:F2</xm:sqref>
        </x14:conditionalFormatting>
        <x14:conditionalFormatting xmlns:xm="http://schemas.microsoft.com/office/excel/2006/main">
          <x14:cfRule type="containsText" priority="3" operator="containsText" id="{119E6EF6-DD3A-4855-B9E5-DD6F431AA5CF}">
            <xm:f>NOT(ISERROR(SEARCH("L",E2)))</xm:f>
            <xm:f>"L"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E2:F2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54F5-B4E4-4940-9ACF-6BD0931FEFFE}">
  <sheetPr codeName="Sheet11"/>
  <dimension ref="A1:T48"/>
  <sheetViews>
    <sheetView tabSelected="1" workbookViewId="0">
      <selection activeCell="M20" sqref="M20"/>
    </sheetView>
  </sheetViews>
  <sheetFormatPr defaultRowHeight="15" x14ac:dyDescent="0.25"/>
  <cols>
    <col min="1" max="1" width="68.140625" customWidth="1"/>
    <col min="2" max="2" width="6.42578125" customWidth="1"/>
    <col min="3" max="3" width="8.42578125" customWidth="1"/>
    <col min="4" max="4" width="14.28515625" bestFit="1" customWidth="1"/>
    <col min="5" max="5" width="9.42578125" customWidth="1"/>
    <col min="6" max="6" width="12.7109375" customWidth="1"/>
    <col min="7" max="7" width="7.7109375" customWidth="1"/>
    <col min="8" max="8" width="7.85546875" customWidth="1"/>
    <col min="10" max="10" width="21.7109375" style="4" bestFit="1" customWidth="1"/>
    <col min="11" max="11" width="10.140625" style="5" bestFit="1" customWidth="1"/>
    <col min="12" max="12" width="8.5703125" style="5" bestFit="1" customWidth="1"/>
    <col min="13" max="13" width="11.7109375" style="5" bestFit="1" customWidth="1"/>
    <col min="14" max="14" width="8" bestFit="1" customWidth="1"/>
    <col min="15" max="15" width="9.7109375" bestFit="1" customWidth="1"/>
    <col min="16" max="16" width="11.140625" customWidth="1"/>
    <col min="17" max="17" width="13.5703125" bestFit="1" customWidth="1"/>
    <col min="18" max="18" width="33" customWidth="1"/>
    <col min="19" max="19" width="18.85546875" customWidth="1"/>
  </cols>
  <sheetData>
    <row r="1" spans="1:20" ht="15.75" thickBot="1" x14ac:dyDescent="0.3">
      <c r="A1" s="148" t="s">
        <v>46</v>
      </c>
      <c r="B1" s="149" t="s">
        <v>1</v>
      </c>
      <c r="C1" s="149" t="s">
        <v>20</v>
      </c>
      <c r="D1" s="150" t="s">
        <v>22</v>
      </c>
      <c r="E1" s="149" t="s">
        <v>23</v>
      </c>
      <c r="F1" s="150" t="s">
        <v>96</v>
      </c>
      <c r="G1" s="150" t="s">
        <v>47</v>
      </c>
      <c r="H1" s="151" t="s">
        <v>155</v>
      </c>
      <c r="J1" s="27" t="s">
        <v>204</v>
      </c>
    </row>
    <row r="2" spans="1:20" ht="15.75" thickBot="1" x14ac:dyDescent="0.3">
      <c r="A2" s="138"/>
      <c r="B2" s="139"/>
      <c r="C2" s="139" t="e">
        <f>+VLOOKUP(B2,'DATA SHEET'!$B$3:$C$7,2,FALSE)</f>
        <v>#N/A</v>
      </c>
      <c r="D2" s="139"/>
      <c r="E2" s="139"/>
      <c r="F2" s="140" t="e">
        <f>+VLOOKUP(E2,'DATA SHEET'!$B$10:$C$12,2,FALSE)</f>
        <v>#N/A</v>
      </c>
      <c r="G2" s="141"/>
      <c r="H2" s="142"/>
      <c r="J2" s="41" t="s">
        <v>50</v>
      </c>
      <c r="K2" s="41" t="s">
        <v>51</v>
      </c>
      <c r="L2" s="41" t="s">
        <v>156</v>
      </c>
      <c r="M2" s="41" t="s">
        <v>161</v>
      </c>
      <c r="N2" s="41" t="s">
        <v>52</v>
      </c>
      <c r="O2" s="41" t="s">
        <v>53</v>
      </c>
      <c r="P2" s="42" t="s">
        <v>54</v>
      </c>
      <c r="Q2" s="120" t="s">
        <v>162</v>
      </c>
      <c r="R2" s="114" t="s">
        <v>55</v>
      </c>
      <c r="S2" s="132" t="s">
        <v>56</v>
      </c>
      <c r="T2" s="133"/>
    </row>
    <row r="3" spans="1:20" x14ac:dyDescent="0.25">
      <c r="A3" t="s">
        <v>216</v>
      </c>
      <c r="B3" t="s">
        <v>10</v>
      </c>
      <c r="C3">
        <f>+VLOOKUP(B3,'DATA SHEET'!$B$3:$C$7,2,FALSE)</f>
        <v>5</v>
      </c>
      <c r="D3" t="s">
        <v>169</v>
      </c>
      <c r="E3" s="146" t="s">
        <v>16</v>
      </c>
      <c r="F3">
        <f>+VLOOKUP(E3,'DATA SHEET'!$B$10:$C$12,2,FALSE)</f>
        <v>3</v>
      </c>
      <c r="G3" s="144" t="s">
        <v>58</v>
      </c>
      <c r="H3" t="s">
        <v>58</v>
      </c>
      <c r="J3" s="33" t="s">
        <v>59</v>
      </c>
      <c r="K3" s="43"/>
      <c r="L3" s="122">
        <f>COUNTIF(D:D,"*"&amp;J3&amp;"*")</f>
        <v>11</v>
      </c>
      <c r="M3" s="11">
        <f>COUNTIFS(D:D,"*"&amp;J3&amp;"*",H:H,"Y")</f>
        <v>0</v>
      </c>
      <c r="N3" s="124">
        <f>SUMIF(D:D,"*"&amp;J3&amp;"*",C:C)</f>
        <v>36</v>
      </c>
      <c r="O3" s="44">
        <f>SUMIFS(C:C,D:D,"*"&amp;J3&amp;"*",G:G,"Y")</f>
        <v>0</v>
      </c>
      <c r="P3" s="44">
        <f>SUMIFS(C:C,D:D,"*"&amp;J3&amp;"*",G:G,"N")</f>
        <v>36</v>
      </c>
      <c r="Q3" s="130">
        <f>$O3/$N3</f>
        <v>0</v>
      </c>
      <c r="R3" s="128"/>
      <c r="S3" s="33" t="s">
        <v>60</v>
      </c>
      <c r="T3" s="110">
        <f>SUM(O3:O10)</f>
        <v>0</v>
      </c>
    </row>
    <row r="4" spans="1:20" x14ac:dyDescent="0.25">
      <c r="A4" t="s">
        <v>228</v>
      </c>
      <c r="B4" t="s">
        <v>10</v>
      </c>
      <c r="C4">
        <f>+VLOOKUP(B4,'DATA SHEET'!$B$3:$C$7,2,FALSE)</f>
        <v>5</v>
      </c>
      <c r="D4" t="s">
        <v>167</v>
      </c>
      <c r="E4" s="146" t="s">
        <v>16</v>
      </c>
      <c r="F4">
        <f>+VLOOKUP(E4,'DATA SHEET'!$B$10:$C$12,2,FALSE)</f>
        <v>3</v>
      </c>
      <c r="G4" s="144" t="s">
        <v>58</v>
      </c>
      <c r="H4" t="s">
        <v>58</v>
      </c>
      <c r="J4" s="13" t="s">
        <v>62</v>
      </c>
      <c r="K4" s="11"/>
      <c r="L4" s="73">
        <f t="shared" ref="L4:L10" si="0">COUNTIF(D:D,"*"&amp;J4&amp;"*")</f>
        <v>13</v>
      </c>
      <c r="M4" s="11">
        <f t="shared" ref="M4:M10" si="1">COUNTIFS(D:D,"*"&amp;J4&amp;"*",H:H,"Y")</f>
        <v>0</v>
      </c>
      <c r="N4" s="125">
        <f t="shared" ref="N4:N10" si="2">SUMIF(D:D,"*"&amp;J4&amp;"*",C:C)</f>
        <v>41</v>
      </c>
      <c r="O4" s="12">
        <f t="shared" ref="O4:O10" si="3">SUMIFS(C:C,D:D,"*"&amp;J4&amp;"*",G:G,"Y")</f>
        <v>0</v>
      </c>
      <c r="P4" s="12">
        <f t="shared" ref="P4:P10" si="4">SUMIFS(C:C,D:D,"*"&amp;J4&amp;"*",G:G,"N")</f>
        <v>41</v>
      </c>
      <c r="Q4" s="130">
        <f t="shared" ref="Q4:Q10" si="5">$O4/$N4</f>
        <v>0</v>
      </c>
      <c r="R4" s="74"/>
      <c r="S4" s="32" t="s">
        <v>63</v>
      </c>
      <c r="T4" s="111" t="e">
        <f>SUM(P3:P10)</f>
        <v>#N/A</v>
      </c>
    </row>
    <row r="5" spans="1:20" x14ac:dyDescent="0.25">
      <c r="A5" t="s">
        <v>189</v>
      </c>
      <c r="B5" t="s">
        <v>10</v>
      </c>
      <c r="C5">
        <f>+VLOOKUP(B5,'DATA SHEET'!$B$3:$C$7,2,FALSE)</f>
        <v>5</v>
      </c>
      <c r="D5" t="s">
        <v>167</v>
      </c>
      <c r="E5" s="146" t="s">
        <v>16</v>
      </c>
      <c r="F5">
        <f>+VLOOKUP(E5,'DATA SHEET'!$B$10:$C$12,2,FALSE)</f>
        <v>3</v>
      </c>
      <c r="G5" s="144" t="s">
        <v>58</v>
      </c>
      <c r="H5" t="s">
        <v>58</v>
      </c>
      <c r="J5" s="13" t="s">
        <v>66</v>
      </c>
      <c r="K5" s="11"/>
      <c r="L5" s="73">
        <f t="shared" si="0"/>
        <v>8</v>
      </c>
      <c r="M5" s="11">
        <f t="shared" si="1"/>
        <v>0</v>
      </c>
      <c r="N5" s="125">
        <f t="shared" si="2"/>
        <v>23</v>
      </c>
      <c r="O5" s="12">
        <f t="shared" si="3"/>
        <v>0</v>
      </c>
      <c r="P5" s="12">
        <f t="shared" si="4"/>
        <v>23</v>
      </c>
      <c r="Q5" s="130">
        <f t="shared" si="5"/>
        <v>0</v>
      </c>
      <c r="R5" s="74"/>
      <c r="S5" s="112" t="s">
        <v>67</v>
      </c>
      <c r="T5" s="119" t="e">
        <f>O11/N11</f>
        <v>#N/A</v>
      </c>
    </row>
    <row r="6" spans="1:20" ht="15.75" thickBot="1" x14ac:dyDescent="0.3">
      <c r="A6" t="s">
        <v>209</v>
      </c>
      <c r="B6" t="s">
        <v>10</v>
      </c>
      <c r="C6">
        <f>+VLOOKUP(B6,'DATA SHEET'!$B$3:$C$7,2,FALSE)</f>
        <v>5</v>
      </c>
      <c r="D6" t="s">
        <v>171</v>
      </c>
      <c r="E6" s="146" t="s">
        <v>16</v>
      </c>
      <c r="F6">
        <f>+VLOOKUP(E6,'DATA SHEET'!$B$10:$C$12,2,FALSE)</f>
        <v>3</v>
      </c>
      <c r="G6" s="144" t="s">
        <v>58</v>
      </c>
      <c r="H6" t="s">
        <v>58</v>
      </c>
      <c r="J6" s="13" t="s">
        <v>69</v>
      </c>
      <c r="K6" s="73"/>
      <c r="L6" s="73">
        <f t="shared" si="0"/>
        <v>2</v>
      </c>
      <c r="M6" s="11">
        <f t="shared" si="1"/>
        <v>0</v>
      </c>
      <c r="N6" s="125">
        <f t="shared" si="2"/>
        <v>8</v>
      </c>
      <c r="O6" s="12">
        <f t="shared" si="3"/>
        <v>0</v>
      </c>
      <c r="P6" s="12">
        <f t="shared" si="4"/>
        <v>8</v>
      </c>
      <c r="Q6" s="130">
        <f t="shared" si="5"/>
        <v>0</v>
      </c>
      <c r="R6" s="74"/>
      <c r="S6" s="15" t="s">
        <v>154</v>
      </c>
      <c r="T6" s="18">
        <v>46</v>
      </c>
    </row>
    <row r="7" spans="1:20" x14ac:dyDescent="0.25">
      <c r="A7" t="s">
        <v>229</v>
      </c>
      <c r="B7" t="s">
        <v>6</v>
      </c>
      <c r="C7">
        <f>+VLOOKUP(B7,'DATA SHEET'!$B$3:$C$7,2,FALSE)</f>
        <v>2</v>
      </c>
      <c r="D7" t="s">
        <v>165</v>
      </c>
      <c r="E7" s="146" t="s">
        <v>16</v>
      </c>
      <c r="F7">
        <f>+VLOOKUP(E7,'DATA SHEET'!$B$10:$C$12,2,FALSE)</f>
        <v>3</v>
      </c>
      <c r="G7" s="144" t="s">
        <v>58</v>
      </c>
      <c r="H7" t="s">
        <v>58</v>
      </c>
      <c r="J7" s="13" t="s">
        <v>71</v>
      </c>
      <c r="K7" s="69"/>
      <c r="L7" s="73">
        <f t="shared" si="0"/>
        <v>5</v>
      </c>
      <c r="M7" s="11">
        <f t="shared" si="1"/>
        <v>0</v>
      </c>
      <c r="N7" s="125">
        <f t="shared" si="2"/>
        <v>15</v>
      </c>
      <c r="O7" s="12">
        <f t="shared" si="3"/>
        <v>0</v>
      </c>
      <c r="P7" s="12">
        <f t="shared" si="4"/>
        <v>15</v>
      </c>
      <c r="Q7" s="130">
        <f t="shared" si="5"/>
        <v>0</v>
      </c>
      <c r="R7" s="129"/>
    </row>
    <row r="8" spans="1:20" x14ac:dyDescent="0.25">
      <c r="A8" t="s">
        <v>230</v>
      </c>
      <c r="B8" t="s">
        <v>10</v>
      </c>
      <c r="C8">
        <f>+VLOOKUP(B8,'DATA SHEET'!$B$3:$C$7,2,FALSE)</f>
        <v>5</v>
      </c>
      <c r="D8" t="s">
        <v>169</v>
      </c>
      <c r="E8" s="146" t="s">
        <v>16</v>
      </c>
      <c r="F8">
        <f>+VLOOKUP(E8,'DATA SHEET'!$B$10:$C$12,2,FALSE)</f>
        <v>3</v>
      </c>
      <c r="G8" s="144" t="s">
        <v>58</v>
      </c>
      <c r="H8" t="s">
        <v>58</v>
      </c>
      <c r="J8" s="13" t="s">
        <v>73</v>
      </c>
      <c r="K8" s="69"/>
      <c r="L8" s="73">
        <f t="shared" si="0"/>
        <v>0</v>
      </c>
      <c r="M8" s="11">
        <f t="shared" si="1"/>
        <v>0</v>
      </c>
      <c r="N8" s="125">
        <f t="shared" si="2"/>
        <v>0</v>
      </c>
      <c r="O8" s="12">
        <f t="shared" si="3"/>
        <v>0</v>
      </c>
      <c r="P8" s="12">
        <f t="shared" si="4"/>
        <v>0</v>
      </c>
      <c r="Q8" s="130" t="e">
        <f t="shared" si="5"/>
        <v>#DIV/0!</v>
      </c>
      <c r="R8" s="129"/>
    </row>
    <row r="9" spans="1:20" x14ac:dyDescent="0.25">
      <c r="A9" t="s">
        <v>207</v>
      </c>
      <c r="B9" t="s">
        <v>8</v>
      </c>
      <c r="C9">
        <f>+VLOOKUP(B9,'DATA SHEET'!$B$3:$C$7,2,FALSE)</f>
        <v>3</v>
      </c>
      <c r="D9" t="s">
        <v>167</v>
      </c>
      <c r="E9" s="146" t="s">
        <v>16</v>
      </c>
      <c r="F9">
        <f>+VLOOKUP(E9,'DATA SHEET'!$B$10:$C$12,2,FALSE)</f>
        <v>3</v>
      </c>
      <c r="G9" s="144" t="s">
        <v>58</v>
      </c>
      <c r="H9" t="s">
        <v>58</v>
      </c>
      <c r="J9" s="68" t="s">
        <v>76</v>
      </c>
      <c r="K9" s="69"/>
      <c r="L9" s="73">
        <f t="shared" si="0"/>
        <v>4</v>
      </c>
      <c r="M9" s="11">
        <f t="shared" si="1"/>
        <v>0</v>
      </c>
      <c r="N9" s="125" t="e">
        <f t="shared" si="2"/>
        <v>#N/A</v>
      </c>
      <c r="O9" s="12">
        <f t="shared" si="3"/>
        <v>0</v>
      </c>
      <c r="P9" s="12" t="e">
        <f t="shared" si="4"/>
        <v>#N/A</v>
      </c>
      <c r="Q9" s="130" t="e">
        <f t="shared" si="5"/>
        <v>#N/A</v>
      </c>
      <c r="R9" s="129"/>
    </row>
    <row r="10" spans="1:20" ht="15.75" thickBot="1" x14ac:dyDescent="0.3">
      <c r="A10" t="s">
        <v>225</v>
      </c>
      <c r="B10" t="s">
        <v>10</v>
      </c>
      <c r="C10">
        <f>+VLOOKUP(B10,'DATA SHEET'!$B$3:$C$7,2,FALSE)</f>
        <v>5</v>
      </c>
      <c r="D10" t="s">
        <v>165</v>
      </c>
      <c r="E10" s="146" t="s">
        <v>16</v>
      </c>
      <c r="F10">
        <f>+VLOOKUP(E10,'DATA SHEET'!$B$10:$C$12,2,FALSE)</f>
        <v>3</v>
      </c>
      <c r="G10" s="144" t="s">
        <v>58</v>
      </c>
      <c r="H10" t="s">
        <v>58</v>
      </c>
      <c r="J10" s="15" t="s">
        <v>79</v>
      </c>
      <c r="K10" s="16"/>
      <c r="L10" s="123">
        <f t="shared" si="0"/>
        <v>1</v>
      </c>
      <c r="M10" s="69">
        <f t="shared" si="1"/>
        <v>0</v>
      </c>
      <c r="N10" s="126">
        <f t="shared" si="2"/>
        <v>3</v>
      </c>
      <c r="O10" s="71">
        <f t="shared" si="3"/>
        <v>0</v>
      </c>
      <c r="P10" s="71">
        <f t="shared" si="4"/>
        <v>3</v>
      </c>
      <c r="Q10" s="130">
        <f t="shared" si="5"/>
        <v>0</v>
      </c>
      <c r="R10" s="18"/>
    </row>
    <row r="11" spans="1:20" ht="15.75" thickBot="1" x14ac:dyDescent="0.3">
      <c r="A11" t="s">
        <v>182</v>
      </c>
      <c r="B11" t="s">
        <v>6</v>
      </c>
      <c r="C11">
        <f>+VLOOKUP(B11,'DATA SHEET'!$B$3:$C$7,2,FALSE)</f>
        <v>2</v>
      </c>
      <c r="D11" t="s">
        <v>178</v>
      </c>
      <c r="E11" s="146" t="s">
        <v>16</v>
      </c>
      <c r="F11">
        <f>+VLOOKUP(E11,'DATA SHEET'!$B$10:$C$12,2,FALSE)</f>
        <v>3</v>
      </c>
      <c r="G11" s="144" t="s">
        <v>58</v>
      </c>
      <c r="H11" t="s">
        <v>58</v>
      </c>
      <c r="J11" s="37"/>
      <c r="K11" s="38"/>
      <c r="L11" s="117">
        <f>SUM(L3:L10)</f>
        <v>44</v>
      </c>
      <c r="M11" s="127">
        <f>SUM(M3:M10)</f>
        <v>0</v>
      </c>
      <c r="N11" s="118" t="e">
        <f>SUM(N3:N10)</f>
        <v>#N/A</v>
      </c>
      <c r="O11" s="115">
        <f>SUM(O3:O10)</f>
        <v>0</v>
      </c>
      <c r="P11" s="116" t="e">
        <f>SUM(P3:P10)</f>
        <v>#N/A</v>
      </c>
      <c r="Q11" s="121"/>
      <c r="R11" s="39"/>
    </row>
    <row r="12" spans="1:20" x14ac:dyDescent="0.25">
      <c r="A12" t="s">
        <v>231</v>
      </c>
      <c r="B12" t="s">
        <v>6</v>
      </c>
      <c r="C12">
        <f>+VLOOKUP(B12,'DATA SHEET'!$B$3:$C$7,2,FALSE)</f>
        <v>2</v>
      </c>
      <c r="D12" t="s">
        <v>165</v>
      </c>
      <c r="E12" s="146" t="s">
        <v>16</v>
      </c>
      <c r="F12">
        <f>+VLOOKUP(E12,'DATA SHEET'!$B$10:$C$12,2,FALSE)</f>
        <v>3</v>
      </c>
      <c r="G12" s="144" t="s">
        <v>58</v>
      </c>
      <c r="H12" t="s">
        <v>58</v>
      </c>
      <c r="J12" s="37"/>
      <c r="K12" s="38"/>
      <c r="L12" s="38"/>
      <c r="M12" s="38"/>
      <c r="N12" s="134" t="s">
        <v>82</v>
      </c>
      <c r="O12" s="134"/>
      <c r="P12" s="134"/>
      <c r="Q12" s="131"/>
      <c r="R12" s="39"/>
    </row>
    <row r="13" spans="1:20" x14ac:dyDescent="0.25">
      <c r="A13" t="s">
        <v>217</v>
      </c>
      <c r="B13" t="s">
        <v>10</v>
      </c>
      <c r="C13">
        <f>+VLOOKUP(B13,'DATA SHEET'!$B$3:$C$7,2,FALSE)</f>
        <v>5</v>
      </c>
      <c r="D13" t="s">
        <v>169</v>
      </c>
      <c r="E13" s="146" t="s">
        <v>16</v>
      </c>
      <c r="F13">
        <f>+VLOOKUP(E13,'DATA SHEET'!$B$10:$C$12,2,FALSE)</f>
        <v>3</v>
      </c>
      <c r="G13" s="144" t="s">
        <v>58</v>
      </c>
      <c r="H13" t="s">
        <v>58</v>
      </c>
      <c r="J13" s="37"/>
      <c r="K13" s="38"/>
      <c r="L13" s="38"/>
      <c r="M13" s="38"/>
      <c r="N13" s="38"/>
      <c r="O13" s="38"/>
      <c r="P13" s="38"/>
      <c r="Q13" s="38"/>
      <c r="R13" s="39"/>
    </row>
    <row r="14" spans="1:20" x14ac:dyDescent="0.25">
      <c r="A14" t="s">
        <v>232</v>
      </c>
      <c r="B14" t="s">
        <v>8</v>
      </c>
      <c r="C14">
        <f>+VLOOKUP(B14,'DATA SHEET'!$B$3:$C$7,2,FALSE)</f>
        <v>3</v>
      </c>
      <c r="D14" t="s">
        <v>167</v>
      </c>
      <c r="E14" s="146" t="s">
        <v>16</v>
      </c>
      <c r="F14">
        <f>+VLOOKUP(E14,'DATA SHEET'!$B$10:$C$12,2,FALSE)</f>
        <v>3</v>
      </c>
      <c r="G14" s="144" t="s">
        <v>58</v>
      </c>
      <c r="H14" t="s">
        <v>58</v>
      </c>
      <c r="J14" s="37"/>
      <c r="K14" s="38"/>
      <c r="L14" s="38"/>
      <c r="M14" s="38"/>
      <c r="N14" s="38"/>
      <c r="O14" s="38"/>
      <c r="P14" s="38"/>
      <c r="Q14" s="38"/>
      <c r="R14" s="39"/>
    </row>
    <row r="15" spans="1:20" x14ac:dyDescent="0.25">
      <c r="A15" t="s">
        <v>233</v>
      </c>
      <c r="B15" t="s">
        <v>6</v>
      </c>
      <c r="C15">
        <f>+VLOOKUP(B15,'DATA SHEET'!$B$3:$C$7,2,FALSE)</f>
        <v>2</v>
      </c>
      <c r="D15" t="s">
        <v>167</v>
      </c>
      <c r="E15" s="146" t="s">
        <v>16</v>
      </c>
      <c r="F15">
        <f>+VLOOKUP(E15,'DATA SHEET'!$B$10:$C$12,2,FALSE)</f>
        <v>3</v>
      </c>
      <c r="G15" s="144" t="s">
        <v>58</v>
      </c>
      <c r="H15" t="s">
        <v>58</v>
      </c>
      <c r="J15" s="37"/>
      <c r="K15" s="38"/>
      <c r="L15" s="38"/>
      <c r="M15" s="38"/>
      <c r="N15" s="38"/>
      <c r="O15" s="38"/>
      <c r="P15" s="38"/>
      <c r="Q15" s="38"/>
      <c r="R15" s="39"/>
    </row>
    <row r="16" spans="1:20" x14ac:dyDescent="0.25">
      <c r="A16" t="s">
        <v>234</v>
      </c>
      <c r="B16" t="s">
        <v>8</v>
      </c>
      <c r="C16">
        <f>+VLOOKUP(B16,'DATA SHEET'!$B$3:$C$7,2,FALSE)</f>
        <v>3</v>
      </c>
      <c r="D16" t="s">
        <v>167</v>
      </c>
      <c r="E16" s="146" t="s">
        <v>16</v>
      </c>
      <c r="F16">
        <f>+VLOOKUP(E16,'DATA SHEET'!$B$10:$C$12,2,FALSE)</f>
        <v>3</v>
      </c>
      <c r="G16" s="144" t="s">
        <v>58</v>
      </c>
      <c r="H16" t="s">
        <v>58</v>
      </c>
      <c r="J16" s="28"/>
      <c r="K16" s="34"/>
      <c r="L16" s="34"/>
      <c r="M16" s="34"/>
      <c r="R16" s="35"/>
    </row>
    <row r="17" spans="1:17" x14ac:dyDescent="0.25">
      <c r="A17" t="s">
        <v>226</v>
      </c>
      <c r="B17" t="s">
        <v>8</v>
      </c>
      <c r="C17">
        <f>+VLOOKUP(B17,'DATA SHEET'!$B$3:$C$7,2,FALSE)</f>
        <v>3</v>
      </c>
      <c r="D17" t="s">
        <v>165</v>
      </c>
      <c r="E17" s="143" t="s">
        <v>8</v>
      </c>
      <c r="F17">
        <f>+VLOOKUP(E17,'DATA SHEET'!$B$10:$C$12,2,FALSE)</f>
        <v>2</v>
      </c>
      <c r="G17" s="144" t="s">
        <v>58</v>
      </c>
      <c r="H17" t="s">
        <v>58</v>
      </c>
      <c r="N17" s="5"/>
      <c r="P17" s="5"/>
      <c r="Q17" s="5"/>
    </row>
    <row r="18" spans="1:17" x14ac:dyDescent="0.25">
      <c r="A18" t="s">
        <v>140</v>
      </c>
      <c r="C18" t="e">
        <f>+VLOOKUP(B18,'DATA SHEET'!$B$3:$C$7,2,FALSE)</f>
        <v>#N/A</v>
      </c>
      <c r="D18" t="s">
        <v>185</v>
      </c>
      <c r="E18" s="143" t="s">
        <v>8</v>
      </c>
      <c r="F18">
        <f>+VLOOKUP(E18,'DATA SHEET'!$B$10:$C$12,2,FALSE)</f>
        <v>2</v>
      </c>
      <c r="G18" s="144" t="s">
        <v>58</v>
      </c>
      <c r="H18" t="s">
        <v>58</v>
      </c>
      <c r="N18" s="5"/>
      <c r="P18" s="5"/>
      <c r="Q18" s="5"/>
    </row>
    <row r="19" spans="1:17" x14ac:dyDescent="0.25">
      <c r="A19" t="s">
        <v>148</v>
      </c>
      <c r="C19" t="e">
        <f>+VLOOKUP(B19,'DATA SHEET'!$B$3:$C$7,2,FALSE)</f>
        <v>#N/A</v>
      </c>
      <c r="D19" t="s">
        <v>185</v>
      </c>
      <c r="E19" s="143" t="s">
        <v>8</v>
      </c>
      <c r="F19">
        <f>+VLOOKUP(E19,'DATA SHEET'!$B$10:$C$12,2,FALSE)</f>
        <v>2</v>
      </c>
      <c r="G19" s="144" t="s">
        <v>58</v>
      </c>
      <c r="H19" t="s">
        <v>58</v>
      </c>
      <c r="N19" s="5"/>
      <c r="P19" s="5"/>
      <c r="Q19" s="5"/>
    </row>
    <row r="20" spans="1:17" x14ac:dyDescent="0.25">
      <c r="A20" t="s">
        <v>152</v>
      </c>
      <c r="B20" t="s">
        <v>8</v>
      </c>
      <c r="C20">
        <f>+VLOOKUP(B20,'DATA SHEET'!$B$3:$C$7,2,FALSE)</f>
        <v>3</v>
      </c>
      <c r="D20" t="s">
        <v>178</v>
      </c>
      <c r="E20" s="143" t="s">
        <v>8</v>
      </c>
      <c r="F20">
        <f>+VLOOKUP(E20,'DATA SHEET'!$B$10:$C$12,2,FALSE)</f>
        <v>2</v>
      </c>
      <c r="G20" s="144" t="s">
        <v>58</v>
      </c>
      <c r="H20" t="s">
        <v>58</v>
      </c>
      <c r="N20" s="5"/>
      <c r="P20" s="5"/>
      <c r="Q20" s="5"/>
    </row>
    <row r="21" spans="1:17" x14ac:dyDescent="0.25">
      <c r="A21" t="s">
        <v>235</v>
      </c>
      <c r="B21" t="s">
        <v>10</v>
      </c>
      <c r="C21">
        <f>+VLOOKUP(B21,'DATA SHEET'!$B$3:$C$7,2,FALSE)</f>
        <v>5</v>
      </c>
      <c r="D21" t="s">
        <v>169</v>
      </c>
      <c r="E21" s="143" t="s">
        <v>8</v>
      </c>
      <c r="F21">
        <f>+VLOOKUP(E21,'DATA SHEET'!$B$10:$C$12,2,FALSE)</f>
        <v>2</v>
      </c>
      <c r="G21" s="144" t="s">
        <v>58</v>
      </c>
      <c r="H21" t="s">
        <v>58</v>
      </c>
    </row>
    <row r="22" spans="1:17" x14ac:dyDescent="0.25">
      <c r="A22" t="s">
        <v>236</v>
      </c>
      <c r="B22" t="s">
        <v>10</v>
      </c>
      <c r="C22">
        <f>+VLOOKUP(B22,'DATA SHEET'!$B$3:$C$7,2,FALSE)</f>
        <v>5</v>
      </c>
      <c r="D22" t="s">
        <v>165</v>
      </c>
      <c r="E22" s="143" t="s">
        <v>8</v>
      </c>
      <c r="F22">
        <f>+VLOOKUP(E22,'DATA SHEET'!$B$10:$C$12,2,FALSE)</f>
        <v>2</v>
      </c>
      <c r="G22" s="144" t="s">
        <v>58</v>
      </c>
      <c r="H22" t="s">
        <v>58</v>
      </c>
    </row>
    <row r="23" spans="1:17" x14ac:dyDescent="0.25">
      <c r="A23" t="s">
        <v>219</v>
      </c>
      <c r="B23" t="s">
        <v>6</v>
      </c>
      <c r="C23">
        <f>+VLOOKUP(B23,'DATA SHEET'!$B$3:$C$7,2,FALSE)</f>
        <v>2</v>
      </c>
      <c r="D23" t="s">
        <v>165</v>
      </c>
      <c r="E23" s="143" t="s">
        <v>8</v>
      </c>
      <c r="F23">
        <f>+VLOOKUP(E23,'DATA SHEET'!$B$10:$C$12,2,FALSE)</f>
        <v>2</v>
      </c>
      <c r="G23" s="144" t="s">
        <v>58</v>
      </c>
      <c r="H23" t="s">
        <v>58</v>
      </c>
    </row>
    <row r="24" spans="1:17" x14ac:dyDescent="0.25">
      <c r="A24" t="s">
        <v>146</v>
      </c>
      <c r="C24" t="e">
        <f>+VLOOKUP(B24,'DATA SHEET'!$B$3:$C$7,2,FALSE)</f>
        <v>#N/A</v>
      </c>
      <c r="D24" t="s">
        <v>185</v>
      </c>
      <c r="E24" s="143" t="s">
        <v>8</v>
      </c>
      <c r="F24">
        <f>+VLOOKUP(E24,'DATA SHEET'!$B$10:$C$12,2,FALSE)</f>
        <v>2</v>
      </c>
      <c r="G24" s="144" t="s">
        <v>58</v>
      </c>
      <c r="H24" t="s">
        <v>58</v>
      </c>
    </row>
    <row r="25" spans="1:17" x14ac:dyDescent="0.25">
      <c r="A25" t="s">
        <v>237</v>
      </c>
      <c r="B25" t="s">
        <v>6</v>
      </c>
      <c r="C25">
        <f>+VLOOKUP(B25,'DATA SHEET'!$B$3:$C$7,2,FALSE)</f>
        <v>2</v>
      </c>
      <c r="D25" t="s">
        <v>178</v>
      </c>
      <c r="E25" s="143" t="s">
        <v>8</v>
      </c>
      <c r="F25">
        <f>+VLOOKUP(E25,'DATA SHEET'!$B$10:$C$12,2,FALSE)</f>
        <v>2</v>
      </c>
      <c r="G25" s="144" t="s">
        <v>58</v>
      </c>
      <c r="H25" t="s">
        <v>58</v>
      </c>
    </row>
    <row r="26" spans="1:17" x14ac:dyDescent="0.25">
      <c r="A26" t="s">
        <v>150</v>
      </c>
      <c r="C26" t="e">
        <f>+VLOOKUP(B26,'DATA SHEET'!$B$3:$C$7,2,FALSE)</f>
        <v>#N/A</v>
      </c>
      <c r="D26" t="s">
        <v>185</v>
      </c>
      <c r="E26" s="143" t="s">
        <v>8</v>
      </c>
      <c r="F26">
        <f>+VLOOKUP(E26,'DATA SHEET'!$B$10:$C$12,2,FALSE)</f>
        <v>2</v>
      </c>
      <c r="G26" s="144" t="s">
        <v>58</v>
      </c>
      <c r="H26" t="s">
        <v>58</v>
      </c>
    </row>
    <row r="27" spans="1:17" x14ac:dyDescent="0.25">
      <c r="A27" t="s">
        <v>238</v>
      </c>
      <c r="B27" t="s">
        <v>6</v>
      </c>
      <c r="C27">
        <f>+VLOOKUP(B27,'DATA SHEET'!$B$3:$C$7,2,FALSE)</f>
        <v>2</v>
      </c>
      <c r="D27" t="s">
        <v>167</v>
      </c>
      <c r="E27" s="143" t="s">
        <v>8</v>
      </c>
      <c r="F27">
        <f>+VLOOKUP(E27,'DATA SHEET'!$B$10:$C$12,2,FALSE)</f>
        <v>2</v>
      </c>
      <c r="G27" s="144" t="s">
        <v>58</v>
      </c>
      <c r="H27" t="s">
        <v>58</v>
      </c>
    </row>
    <row r="28" spans="1:17" x14ac:dyDescent="0.25">
      <c r="A28" t="s">
        <v>239</v>
      </c>
      <c r="B28" t="s">
        <v>8</v>
      </c>
      <c r="C28">
        <f>+VLOOKUP(B28,'DATA SHEET'!$B$3:$C$7,2,FALSE)</f>
        <v>3</v>
      </c>
      <c r="E28" s="143" t="s">
        <v>8</v>
      </c>
      <c r="F28">
        <f>+VLOOKUP(E28,'DATA SHEET'!$B$10:$C$12,2,FALSE)</f>
        <v>2</v>
      </c>
      <c r="G28" s="144" t="s">
        <v>58</v>
      </c>
      <c r="H28" t="s">
        <v>58</v>
      </c>
    </row>
    <row r="29" spans="1:17" x14ac:dyDescent="0.25">
      <c r="A29" t="s">
        <v>175</v>
      </c>
      <c r="B29" t="s">
        <v>6</v>
      </c>
      <c r="C29">
        <f>+VLOOKUP(B29,'DATA SHEET'!$B$3:$C$7,2,FALSE)</f>
        <v>2</v>
      </c>
      <c r="D29" t="s">
        <v>169</v>
      </c>
      <c r="E29" s="143" t="s">
        <v>8</v>
      </c>
      <c r="F29">
        <f>+VLOOKUP(E29,'DATA SHEET'!$B$10:$C$12,2,FALSE)</f>
        <v>2</v>
      </c>
      <c r="G29" s="144" t="s">
        <v>58</v>
      </c>
      <c r="H29" t="s">
        <v>58</v>
      </c>
    </row>
    <row r="30" spans="1:17" x14ac:dyDescent="0.25">
      <c r="A30" t="s">
        <v>160</v>
      </c>
      <c r="B30" t="s">
        <v>8</v>
      </c>
      <c r="C30">
        <f>+VLOOKUP(B30,'DATA SHEET'!$B$3:$C$7,2,FALSE)</f>
        <v>3</v>
      </c>
      <c r="D30" t="s">
        <v>167</v>
      </c>
      <c r="E30" s="143" t="s">
        <v>8</v>
      </c>
      <c r="F30">
        <f>+VLOOKUP(E30,'DATA SHEET'!$B$10:$C$12,2,FALSE)</f>
        <v>2</v>
      </c>
      <c r="G30" s="144" t="s">
        <v>58</v>
      </c>
      <c r="H30" t="s">
        <v>58</v>
      </c>
    </row>
    <row r="31" spans="1:17" x14ac:dyDescent="0.25">
      <c r="A31" t="s">
        <v>240</v>
      </c>
      <c r="B31" t="s">
        <v>8</v>
      </c>
      <c r="C31">
        <f>+VLOOKUP(B31,'DATA SHEET'!$B$3:$C$7,2,FALSE)</f>
        <v>3</v>
      </c>
      <c r="D31" t="s">
        <v>167</v>
      </c>
      <c r="E31" s="143" t="s">
        <v>8</v>
      </c>
      <c r="F31">
        <f>+VLOOKUP(E31,'DATA SHEET'!$B$10:$C$12,2,FALSE)</f>
        <v>2</v>
      </c>
      <c r="G31" s="144" t="s">
        <v>58</v>
      </c>
      <c r="H31" t="s">
        <v>58</v>
      </c>
    </row>
    <row r="32" spans="1:17" x14ac:dyDescent="0.25">
      <c r="A32" t="s">
        <v>176</v>
      </c>
      <c r="B32" t="s">
        <v>6</v>
      </c>
      <c r="C32">
        <f>+VLOOKUP(B32,'DATA SHEET'!$B$3:$C$7,2,FALSE)</f>
        <v>2</v>
      </c>
      <c r="D32" t="s">
        <v>169</v>
      </c>
      <c r="E32" s="143" t="s">
        <v>8</v>
      </c>
      <c r="F32">
        <f>+VLOOKUP(E32,'DATA SHEET'!$B$10:$C$12,2,FALSE)</f>
        <v>2</v>
      </c>
      <c r="G32" s="144" t="s">
        <v>58</v>
      </c>
      <c r="H32" t="s">
        <v>58</v>
      </c>
    </row>
    <row r="33" spans="1:8" x14ac:dyDescent="0.25">
      <c r="A33" t="s">
        <v>220</v>
      </c>
      <c r="B33" t="s">
        <v>6</v>
      </c>
      <c r="C33">
        <f>+VLOOKUP(B33,'DATA SHEET'!$B$3:$C$7,2,FALSE)</f>
        <v>2</v>
      </c>
      <c r="D33" t="s">
        <v>167</v>
      </c>
      <c r="E33" s="143" t="s">
        <v>8</v>
      </c>
      <c r="F33">
        <f>+VLOOKUP(E33,'DATA SHEET'!$B$10:$C$12,2,FALSE)</f>
        <v>2</v>
      </c>
      <c r="G33" s="144" t="s">
        <v>58</v>
      </c>
      <c r="H33" t="s">
        <v>58</v>
      </c>
    </row>
    <row r="34" spans="1:8" x14ac:dyDescent="0.25">
      <c r="A34" t="s">
        <v>241</v>
      </c>
      <c r="B34" t="s">
        <v>10</v>
      </c>
      <c r="C34">
        <f>+VLOOKUP(B34,'DATA SHEET'!$B$3:$C$7,2,FALSE)</f>
        <v>5</v>
      </c>
      <c r="D34" t="s">
        <v>167</v>
      </c>
      <c r="E34" s="143" t="s">
        <v>8</v>
      </c>
      <c r="F34">
        <f>+VLOOKUP(E34,'DATA SHEET'!$B$10:$C$12,2,FALSE)</f>
        <v>2</v>
      </c>
      <c r="G34" s="144" t="s">
        <v>58</v>
      </c>
      <c r="H34" t="s">
        <v>58</v>
      </c>
    </row>
    <row r="35" spans="1:8" x14ac:dyDescent="0.25">
      <c r="A35" t="s">
        <v>242</v>
      </c>
      <c r="B35" t="s">
        <v>6</v>
      </c>
      <c r="C35">
        <f>+VLOOKUP(B35,'DATA SHEET'!$B$3:$C$7,2,FALSE)</f>
        <v>2</v>
      </c>
      <c r="D35" t="s">
        <v>169</v>
      </c>
      <c r="E35" s="143" t="s">
        <v>8</v>
      </c>
      <c r="F35">
        <f>+VLOOKUP(E35,'DATA SHEET'!$B$10:$C$12,2,FALSE)</f>
        <v>2</v>
      </c>
      <c r="G35" s="144" t="s">
        <v>58</v>
      </c>
      <c r="H35" t="s">
        <v>58</v>
      </c>
    </row>
    <row r="36" spans="1:8" x14ac:dyDescent="0.25">
      <c r="A36" t="s">
        <v>243</v>
      </c>
      <c r="B36" t="s">
        <v>8</v>
      </c>
      <c r="C36">
        <f>+VLOOKUP(B36,'DATA SHEET'!$B$3:$C$7,2,FALSE)</f>
        <v>3</v>
      </c>
      <c r="D36" t="s">
        <v>169</v>
      </c>
      <c r="E36" s="145" t="s">
        <v>10</v>
      </c>
      <c r="F36">
        <f>+VLOOKUP(E36,'DATA SHEET'!$B$10:$C$12,2,FALSE)</f>
        <v>1</v>
      </c>
      <c r="G36" s="144" t="s">
        <v>58</v>
      </c>
      <c r="H36" t="s">
        <v>58</v>
      </c>
    </row>
    <row r="37" spans="1:8" x14ac:dyDescent="0.25">
      <c r="A37" t="s">
        <v>201</v>
      </c>
      <c r="B37" t="s">
        <v>8</v>
      </c>
      <c r="C37">
        <f>+VLOOKUP(B37,'DATA SHEET'!$B$3:$C$7,2,FALSE)</f>
        <v>3</v>
      </c>
      <c r="D37" t="s">
        <v>169</v>
      </c>
      <c r="E37" s="145" t="s">
        <v>10</v>
      </c>
      <c r="F37">
        <f>+VLOOKUP(E37,'DATA SHEET'!$B$10:$C$12,2,FALSE)</f>
        <v>1</v>
      </c>
      <c r="G37" s="144" t="s">
        <v>58</v>
      </c>
      <c r="H37" t="s">
        <v>58</v>
      </c>
    </row>
    <row r="38" spans="1:8" x14ac:dyDescent="0.25">
      <c r="A38" t="s">
        <v>221</v>
      </c>
      <c r="B38" t="s">
        <v>6</v>
      </c>
      <c r="C38">
        <f>+VLOOKUP(B38,'DATA SHEET'!$B$3:$C$7,2,FALSE)</f>
        <v>2</v>
      </c>
      <c r="D38" t="s">
        <v>169</v>
      </c>
      <c r="E38" s="145" t="s">
        <v>10</v>
      </c>
      <c r="F38">
        <f>+VLOOKUP(E38,'DATA SHEET'!$B$10:$C$12,2,FALSE)</f>
        <v>1</v>
      </c>
      <c r="G38" s="144" t="s">
        <v>58</v>
      </c>
      <c r="H38" t="s">
        <v>58</v>
      </c>
    </row>
    <row r="39" spans="1:8" x14ac:dyDescent="0.25">
      <c r="A39" t="s">
        <v>244</v>
      </c>
      <c r="B39" t="s">
        <v>10</v>
      </c>
      <c r="C39">
        <f>+VLOOKUP(B39,'DATA SHEET'!$B$3:$C$7,2,FALSE)</f>
        <v>5</v>
      </c>
      <c r="D39" t="s">
        <v>178</v>
      </c>
      <c r="E39" s="145" t="s">
        <v>10</v>
      </c>
      <c r="F39">
        <f>+VLOOKUP(E39,'DATA SHEET'!$B$10:$C$12,2,FALSE)</f>
        <v>1</v>
      </c>
      <c r="G39" s="144" t="s">
        <v>58</v>
      </c>
      <c r="H39" t="s">
        <v>58</v>
      </c>
    </row>
    <row r="40" spans="1:8" x14ac:dyDescent="0.25">
      <c r="A40" t="s">
        <v>222</v>
      </c>
      <c r="B40" t="s">
        <v>8</v>
      </c>
      <c r="C40">
        <f>+VLOOKUP(B40,'DATA SHEET'!$B$3:$C$7,2,FALSE)</f>
        <v>3</v>
      </c>
      <c r="D40" t="s">
        <v>178</v>
      </c>
      <c r="E40" s="145" t="s">
        <v>10</v>
      </c>
      <c r="F40">
        <f>+VLOOKUP(E40,'DATA SHEET'!$B$10:$C$12,2,FALSE)</f>
        <v>1</v>
      </c>
      <c r="G40" s="144" t="s">
        <v>58</v>
      </c>
      <c r="H40" t="s">
        <v>58</v>
      </c>
    </row>
    <row r="41" spans="1:8" x14ac:dyDescent="0.25">
      <c r="A41" t="s">
        <v>245</v>
      </c>
      <c r="B41" t="s">
        <v>8</v>
      </c>
      <c r="C41">
        <f>+VLOOKUP(B41,'DATA SHEET'!$B$3:$C$7,2,FALSE)</f>
        <v>3</v>
      </c>
      <c r="D41" t="s">
        <v>171</v>
      </c>
      <c r="E41" s="145" t="s">
        <v>10</v>
      </c>
      <c r="F41">
        <f>+VLOOKUP(E41,'DATA SHEET'!$B$10:$C$12,2,FALSE)</f>
        <v>1</v>
      </c>
      <c r="G41" s="144" t="s">
        <v>58</v>
      </c>
      <c r="H41" t="s">
        <v>58</v>
      </c>
    </row>
    <row r="42" spans="1:8" x14ac:dyDescent="0.25">
      <c r="A42" t="s">
        <v>246</v>
      </c>
      <c r="B42" t="s">
        <v>6</v>
      </c>
      <c r="C42">
        <f>+VLOOKUP(B42,'DATA SHEET'!$B$3:$C$7,2,FALSE)</f>
        <v>2</v>
      </c>
      <c r="D42" t="s">
        <v>165</v>
      </c>
      <c r="E42" s="145" t="s">
        <v>10</v>
      </c>
      <c r="F42">
        <f>+VLOOKUP(E42,'DATA SHEET'!$B$10:$C$12,2,FALSE)</f>
        <v>1</v>
      </c>
      <c r="G42" s="144" t="s">
        <v>58</v>
      </c>
      <c r="H42" t="s">
        <v>58</v>
      </c>
    </row>
    <row r="43" spans="1:8" x14ac:dyDescent="0.25">
      <c r="A43" t="s">
        <v>159</v>
      </c>
      <c r="B43" t="s">
        <v>6</v>
      </c>
      <c r="C43">
        <f>+VLOOKUP(B43,'DATA SHEET'!$B$3:$C$7,2,FALSE)</f>
        <v>2</v>
      </c>
      <c r="D43" t="s">
        <v>169</v>
      </c>
      <c r="E43" s="145" t="s">
        <v>10</v>
      </c>
      <c r="F43">
        <f>+VLOOKUP(E43,'DATA SHEET'!$B$10:$C$12,2,FALSE)</f>
        <v>1</v>
      </c>
      <c r="G43" s="144" t="s">
        <v>58</v>
      </c>
      <c r="H43" t="s">
        <v>58</v>
      </c>
    </row>
    <row r="44" spans="1:8" x14ac:dyDescent="0.25">
      <c r="A44" t="s">
        <v>247</v>
      </c>
      <c r="B44" t="s">
        <v>6</v>
      </c>
      <c r="C44">
        <f>+VLOOKUP(B44,'DATA SHEET'!$B$3:$C$7,2,FALSE)</f>
        <v>2</v>
      </c>
      <c r="D44" t="s">
        <v>167</v>
      </c>
      <c r="E44" s="145" t="s">
        <v>10</v>
      </c>
      <c r="F44">
        <f>+VLOOKUP(E44,'DATA SHEET'!$B$10:$C$12,2,FALSE)</f>
        <v>1</v>
      </c>
      <c r="G44" s="144" t="s">
        <v>58</v>
      </c>
      <c r="H44" t="s">
        <v>58</v>
      </c>
    </row>
    <row r="45" spans="1:8" x14ac:dyDescent="0.25">
      <c r="A45" t="s">
        <v>248</v>
      </c>
      <c r="B45" t="s">
        <v>8</v>
      </c>
      <c r="C45">
        <f>+VLOOKUP(B45,'DATA SHEET'!$B$3:$C$7,2,FALSE)</f>
        <v>3</v>
      </c>
      <c r="E45" s="145" t="s">
        <v>10</v>
      </c>
      <c r="F45">
        <f>+VLOOKUP(E45,'DATA SHEET'!$B$10:$C$12,2,FALSE)</f>
        <v>1</v>
      </c>
      <c r="G45" s="144" t="s">
        <v>58</v>
      </c>
      <c r="H45" t="s">
        <v>58</v>
      </c>
    </row>
    <row r="46" spans="1:8" x14ac:dyDescent="0.25">
      <c r="A46" t="s">
        <v>249</v>
      </c>
      <c r="B46" t="s">
        <v>8</v>
      </c>
      <c r="C46">
        <f>+VLOOKUP(B46,'DATA SHEET'!$B$3:$C$7,2,FALSE)</f>
        <v>3</v>
      </c>
      <c r="D46" t="s">
        <v>167</v>
      </c>
      <c r="E46" s="145" t="s">
        <v>10</v>
      </c>
      <c r="F46">
        <f>+VLOOKUP(E46,'DATA SHEET'!$B$10:$C$12,2,FALSE)</f>
        <v>1</v>
      </c>
      <c r="G46" s="144" t="s">
        <v>58</v>
      </c>
      <c r="H46" t="s">
        <v>58</v>
      </c>
    </row>
    <row r="47" spans="1:8" x14ac:dyDescent="0.25">
      <c r="A47" t="s">
        <v>250</v>
      </c>
      <c r="B47" t="s">
        <v>6</v>
      </c>
      <c r="C47">
        <f>+VLOOKUP(B47,'DATA SHEET'!$B$3:$C$7,2,FALSE)</f>
        <v>2</v>
      </c>
      <c r="D47" t="s">
        <v>165</v>
      </c>
      <c r="F47" t="e">
        <f>+VLOOKUP(E47,'DATA SHEET'!$B$10:$C$12,2,FALSE)</f>
        <v>#N/A</v>
      </c>
      <c r="G47" s="144" t="s">
        <v>58</v>
      </c>
      <c r="H47" t="s">
        <v>58</v>
      </c>
    </row>
    <row r="48" spans="1:8" x14ac:dyDescent="0.25">
      <c r="A48" t="s">
        <v>251</v>
      </c>
      <c r="B48" t="s">
        <v>8</v>
      </c>
      <c r="C48">
        <f>+VLOOKUP(B48,'DATA SHEET'!$B$3:$C$7,2,FALSE)</f>
        <v>3</v>
      </c>
      <c r="D48" t="s">
        <v>218</v>
      </c>
      <c r="E48" s="143" t="s">
        <v>8</v>
      </c>
      <c r="F48">
        <f>+VLOOKUP(E48,'DATA SHEET'!$B$10:$C$12,2,FALSE)</f>
        <v>2</v>
      </c>
      <c r="G48" s="144" t="s">
        <v>58</v>
      </c>
      <c r="H48" t="s">
        <v>58</v>
      </c>
    </row>
  </sheetData>
  <mergeCells count="2">
    <mergeCell ref="S2:T2"/>
    <mergeCell ref="N12:P12"/>
  </mergeCells>
  <conditionalFormatting sqref="G1:H2">
    <cfRule type="beginsWith" dxfId="6" priority="7" operator="beginsWith" text="Y">
      <formula>LEFT(G1,LEN("Y"))="Y"</formula>
    </cfRule>
  </conditionalFormatting>
  <conditionalFormatting sqref="G1:G2">
    <cfRule type="beginsWith" dxfId="5" priority="6" operator="beginsWith" text="N">
      <formula>LEFT(G1,LEN("N"))="N"</formula>
    </cfRule>
  </conditionalFormatting>
  <conditionalFormatting sqref="J1">
    <cfRule type="beginsWith" dxfId="1" priority="2" operator="beginsWith" text="Y">
      <formula>LEFT(J1,LEN("Y"))="Y"</formula>
    </cfRule>
  </conditionalFormatting>
  <conditionalFormatting sqref="J1">
    <cfRule type="beginsWith" dxfId="0" priority="1" operator="beginsWith" text="N">
      <formula>LEFT(J1,LEN("N"))="N"</formula>
    </cfRule>
  </conditionalFormatting>
  <dataValidations count="1">
    <dataValidation type="list" allowBlank="1" showInputMessage="1" showErrorMessage="1" sqref="G2:H2" xr:uid="{B1F8DDCD-9A5F-4119-98CB-AEF406AD4348}">
      <formula1>"Y,N"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A0877816-9932-432F-B157-9EB64AE8A031}">
            <xm:f>NOT(ISERROR(SEARCH("H",E2)))</xm:f>
            <xm:f>"H"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E2:F2</xm:sqref>
        </x14:conditionalFormatting>
        <x14:conditionalFormatting xmlns:xm="http://schemas.microsoft.com/office/excel/2006/main">
          <x14:cfRule type="containsText" priority="4" operator="containsText" id="{F1FF88EF-DC44-4BA0-8B03-CBF91160155A}">
            <xm:f>NOT(ISERROR(SEARCH("m",E2)))</xm:f>
            <xm:f>"m"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E2:F2</xm:sqref>
        </x14:conditionalFormatting>
        <x14:conditionalFormatting xmlns:xm="http://schemas.microsoft.com/office/excel/2006/main">
          <x14:cfRule type="containsText" priority="3" operator="containsText" id="{1526225E-7C00-4597-9ACC-C35F53FAFA1B}">
            <xm:f>NOT(ISERROR(SEARCH("L",E2)))</xm:f>
            <xm:f>"L"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E2:F2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rchive xmlns="e53f4f12-70f6-49ff-8342-256ad4d5af45">false</Archive>
    <WindchillNumber xmlns="e53f4f12-70f6-49ff-8342-256ad4d5af45" xsi:nil="true"/>
    <Deliverable xmlns="e53f4f12-70f6-49ff-8342-256ad4d5af45" xsi:nil="true"/>
    <DocType xmlns="e53f4f12-70f6-49ff-8342-256ad4d5af45" xsi:nil="true"/>
    <Workstream xmlns="e53f4f12-70f6-49ff-8342-256ad4d5af45" xsi:nil="true"/>
    <DateofApproval xmlns="e53f4f12-70f6-49ff-8342-256ad4d5af45" xsi:nil="true"/>
    <ProductType xmlns="e53f4f12-70f6-49ff-8342-256ad4d5af45" xsi:nil="true"/>
    <MovetoWorkstream_x003f_ xmlns="e53f4f12-70f6-49ff-8342-256ad4d5af45" xsi:nil="true"/>
    <LinktoWindchill xmlns="e53f4f12-70f6-49ff-8342-256ad4d5af45">
      <Url xsi:nil="true"/>
      <Description xsi:nil="true"/>
    </LinktoWindchill>
    <CANumber xmlns="e53f4f12-70f6-49ff-8342-256ad4d5af45" xsi:nil="true"/>
    <ResponsibleParty xmlns="e53f4f12-70f6-49ff-8342-256ad4d5af45" xsi:nil="true"/>
    <Project xmlns="e53f4f12-70f6-49ff-8342-256ad4d5af45" xsi:nil="true"/>
    <Author0 xmlns="e53f4f12-70f6-49ff-8342-256ad4d5af45" xsi:nil="true"/>
    <OpCo xmlns="e53f4f12-70f6-49ff-8342-256ad4d5af45">DPS Trauma</OpCo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2369C55104614D86A5ED6959977478" ma:contentTypeVersion="29" ma:contentTypeDescription="Create a new document." ma:contentTypeScope="" ma:versionID="80027463d8e62b8c8eb38cd69bb3a700">
  <xsd:schema xmlns:xsd="http://www.w3.org/2001/XMLSchema" xmlns:xs="http://www.w3.org/2001/XMLSchema" xmlns:p="http://schemas.microsoft.com/office/2006/metadata/properties" xmlns:ns2="e53f4f12-70f6-49ff-8342-256ad4d5af45" xmlns:ns3="4f4d318f-1e15-433d-b7fd-4a4fd8f11b5b" targetNamespace="http://schemas.microsoft.com/office/2006/metadata/properties" ma:root="true" ma:fieldsID="1842c17e0a6282f58735c4d3bb0329c3" ns2:_="" ns3:_="">
    <xsd:import namespace="e53f4f12-70f6-49ff-8342-256ad4d5af45"/>
    <xsd:import namespace="4f4d318f-1e15-433d-b7fd-4a4fd8f11b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2:MediaServiceOCR" minOccurs="0"/>
                <xsd:element ref="ns2:Project" minOccurs="0"/>
                <xsd:element ref="ns2:OpCo" minOccurs="0"/>
                <xsd:element ref="ns2:Deliverable" minOccurs="0"/>
                <xsd:element ref="ns2:Workstream" minOccurs="0"/>
                <xsd:element ref="ns2:MediaServiceLocation" minOccurs="0"/>
                <xsd:element ref="ns2:Archive" minOccurs="0"/>
                <xsd:element ref="ns2:MovetoWorkstream_x003f_" minOccurs="0"/>
                <xsd:element ref="ns2:MediaServiceAutoKeyPoints" minOccurs="0"/>
                <xsd:element ref="ns2:MediaServiceKeyPoints" minOccurs="0"/>
                <xsd:element ref="ns2:WindchillNumber" minOccurs="0"/>
                <xsd:element ref="ns2:LinktoWindchill" minOccurs="0"/>
                <xsd:element ref="ns2:ProductType" minOccurs="0"/>
                <xsd:element ref="ns2:Author0" minOccurs="0"/>
                <xsd:element ref="ns2:DateofApproval" minOccurs="0"/>
                <xsd:element ref="ns2:CANumber" minOccurs="0"/>
                <xsd:element ref="ns2:ResponsibleParty" minOccurs="0"/>
                <xsd:element ref="ns2:Doc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3f4f12-70f6-49ff-8342-256ad4d5af4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Project" ma:index="18" nillable="true" ma:displayName="Project" ma:format="Dropdown" ma:internalName="Project">
      <xsd:simpleType>
        <xsd:union memberTypes="dms:Text">
          <xsd:simpleType>
            <xsd:restriction base="dms:Choice">
              <xsd:enumeration value="Retrograde Nail/Plate"/>
            </xsd:restriction>
          </xsd:simpleType>
        </xsd:union>
      </xsd:simpleType>
    </xsd:element>
    <xsd:element name="OpCo" ma:index="19" nillable="true" ma:displayName="OpCo" ma:default="DPS Trauma" ma:format="Dropdown" ma:internalName="OpCo">
      <xsd:simpleType>
        <xsd:union memberTypes="dms:Text">
          <xsd:simpleType>
            <xsd:restriction base="dms:Choice">
              <xsd:enumeration value="DPS Trauma"/>
              <xsd:enumeration value="DPS Spine"/>
              <xsd:enumeration value="DPS Joints"/>
              <xsd:enumeration value="Ethicon"/>
            </xsd:restriction>
          </xsd:simpleType>
        </xsd:union>
      </xsd:simpleType>
    </xsd:element>
    <xsd:element name="Deliverable" ma:index="20" nillable="true" ma:displayName="Deliverable" ma:description="Relates to Roebling deliverable" ma:format="Dropdown" ma:internalName="Deliverable">
      <xsd:simpleType>
        <xsd:union memberTypes="dms:Text">
          <xsd:simpleType>
            <xsd:restriction base="dms:Choice">
              <xsd:enumeration value="Training"/>
              <xsd:enumeration value="Guidance Documents"/>
              <xsd:enumeration value="QMS Docs"/>
              <xsd:enumeration value="Tools"/>
            </xsd:restriction>
          </xsd:simpleType>
        </xsd:union>
      </xsd:simpleType>
    </xsd:element>
    <xsd:element name="Workstream" ma:index="21" nillable="true" ma:displayName="Workstream" ma:format="Dropdown" ma:internalName="Workstream">
      <xsd:simpleType>
        <xsd:union memberTypes="dms:Text">
          <xsd:simpleType>
            <xsd:restriction base="dms:Choice">
              <xsd:enumeration value="PM"/>
              <xsd:enumeration value="RC"/>
              <xsd:enumeration value="PDS"/>
              <xsd:enumeration value="VoC"/>
            </xsd:restriction>
          </xsd:simpleType>
        </xsd:un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Archive" ma:index="23" nillable="true" ma:displayName="Archive" ma:default="0" ma:description="Tag to Archive Yes/No" ma:format="Dropdown" ma:internalName="Archive">
      <xsd:simpleType>
        <xsd:restriction base="dms:Boolean"/>
      </xsd:simpleType>
    </xsd:element>
    <xsd:element name="MovetoWorkstream_x003f_" ma:index="24" nillable="true" ma:displayName="Move to Workstream?" ma:description="To which folder should the files be moved?" ma:format="Dropdown" ma:internalName="MovetoWorkstream_x003f_">
      <xsd:simpleType>
        <xsd:restriction base="dms:Choice">
          <xsd:enumeration value="Program Management"/>
          <xsd:enumeration value="Requirements Cascade"/>
          <xsd:enumeration value="Performance Prediction Strategy"/>
          <xsd:enumeration value="Risk Management"/>
          <xsd:enumeration value="DEx Standard Tools"/>
          <xsd:enumeration value="Other"/>
        </xsd:restriction>
      </xsd:simpleType>
    </xsd:element>
    <xsd:element name="MediaServiceAutoKeyPoints" ma:index="2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WindchillNumber" ma:index="27" nillable="true" ma:displayName="Windchill Number" ma:format="Dropdown" ma:internalName="WindchillNumber">
      <xsd:simpleType>
        <xsd:restriction base="dms:Text">
          <xsd:maxLength value="255"/>
        </xsd:restriction>
      </xsd:simpleType>
    </xsd:element>
    <xsd:element name="LinktoWindchill" ma:index="28" nillable="true" ma:displayName="Link to Windchill" ma:format="Hyperlink" ma:internalName="LinktoWindchil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roductType" ma:index="29" nillable="true" ma:displayName="Product Type" ma:format="Dropdown" ma:internalName="ProductType">
      <xsd:simpleType>
        <xsd:restriction base="dms:Text">
          <xsd:maxLength value="255"/>
        </xsd:restriction>
      </xsd:simpleType>
    </xsd:element>
    <xsd:element name="Author0" ma:index="30" nillable="true" ma:displayName="Author" ma:format="Dropdown" ma:internalName="Author0">
      <xsd:simpleType>
        <xsd:restriction base="dms:Text">
          <xsd:maxLength value="255"/>
        </xsd:restriction>
      </xsd:simpleType>
    </xsd:element>
    <xsd:element name="DateofApproval" ma:index="31" nillable="true" ma:displayName="Date of Approval" ma:format="DateOnly" ma:internalName="DateofApproval">
      <xsd:simpleType>
        <xsd:restriction base="dms:DateTime"/>
      </xsd:simpleType>
    </xsd:element>
    <xsd:element name="CANumber" ma:index="32" nillable="true" ma:displayName="CA Number" ma:format="Dropdown" ma:indexed="true" ma:internalName="CANumber">
      <xsd:simpleType>
        <xsd:restriction base="dms:Text">
          <xsd:maxLength value="255"/>
        </xsd:restriction>
      </xsd:simpleType>
    </xsd:element>
    <xsd:element name="ResponsibleParty" ma:index="33" nillable="true" ma:displayName="Responsible Party" ma:format="Dropdown" ma:internalName="ResponsibleParty">
      <xsd:simpleType>
        <xsd:union memberTypes="dms:Text">
          <xsd:simpleType>
            <xsd:restriction base="dms:Choice">
              <xsd:enumeration value="Synthes-Design Quality Engineering-Management"/>
              <xsd:enumeration value=" Jabil-Quality Assurance-Management-Monument CO USA"/>
              <xsd:enumeration value=" Synthes-RnD Engineering Management"/>
              <xsd:enumeration value="Synthes-Design Quality Engineering-Trauma CMF Biomaterials"/>
              <xsd:enumeration value=" Synthes-RnD Engineering-Veterinary"/>
              <xsd:enumeration value=" Synthes-Package Development-Anspach"/>
              <xsd:enumeration value=" Synthes-Patient Specific Implants Surgeon Response Group"/>
              <xsd:enumeration value=" Synthes-Quality Systems-Management"/>
              <xsd:enumeration value=" Synthes-RnD Test Labs"/>
              <xsd:enumeration value=" Synthes-Sterility Assurance"/>
              <xsd:enumeration value=" Synthes-Sterility Assurance-Management"/>
              <xsd:enumeration value="Synthes-Design Quality Engineering-Management"/>
              <xsd:enumeration value="Synthes-Design Quality Engineering-Trauma CMF Biomaterials"/>
            </xsd:restriction>
          </xsd:simpleType>
        </xsd:union>
      </xsd:simpleType>
    </xsd:element>
    <xsd:element name="DocType" ma:index="34" nillable="true" ma:displayName="Doc Type" ma:format="Dropdown" ma:internalName="DocType">
      <xsd:simpleType>
        <xsd:restriction base="dms:Choice">
          <xsd:enumeration value="FORM"/>
          <xsd:enumeration value="PROCEDURE"/>
          <xsd:enumeration value="GUIDANC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4d318f-1e15-433d-b7fd-4a4fd8f11b5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 ma:index="17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EA34CD-CB8A-4ED2-BFE1-7CA7D7B878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65B96BF-98A7-416C-94F1-D9EE1BFBD27B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e47d8373-5b44-435a-b6c2-317f0ddc2e73"/>
    <ds:schemaRef ds:uri="26b1e993-63f4-44d4-a3a2-bc75d1fa025b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2085D04-E623-4B78-96D9-F2D5A1B696A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Backlog</vt:lpstr>
      <vt:lpstr>Refined</vt:lpstr>
      <vt:lpstr>Sprint 11</vt:lpstr>
      <vt:lpstr>Sprint 12</vt:lpstr>
      <vt:lpstr>Sprint 13</vt:lpstr>
      <vt:lpstr>Sprint 14</vt:lpstr>
    </vt:vector>
  </TitlesOfParts>
  <Manager/>
  <Company>Johnson &amp; Johnson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Zwolski, Stacie [DPYUS]</dc:creator>
  <cp:keywords/>
  <dc:description/>
  <cp:lastModifiedBy>Iaconianni, Joy [DPYUS]</cp:lastModifiedBy>
  <cp:revision/>
  <dcterms:created xsi:type="dcterms:W3CDTF">2019-09-09T12:11:07Z</dcterms:created>
  <dcterms:modified xsi:type="dcterms:W3CDTF">2020-01-27T17:04:27Z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0x0101004B2369C55104614D86A5ED6959977478</vt:lpwstr>
  </property>
</Properties>
</file>